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Schedule" sheetId="1" state="visible" r:id="rId1"/>
    <sheet xmlns:r="http://schemas.openxmlformats.org/officeDocument/2006/relationships" name="Abbreviations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0" hidden="1">'Security Schedule'!$A$6:$M$130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d, mmm d, yyyy"/>
    <numFmt numFmtId="165" formatCode="m/d"/>
    <numFmt numFmtId="166" formatCode="mmm d"/>
  </numFmts>
  <fonts count="10">
    <font>
      <name val="Calibri"/>
      <family val="2"/>
      <color theme="1"/>
      <sz val="11"/>
      <scheme val="minor"/>
    </font>
    <font>
      <b val="1"/>
      <color rgb="0012504C"/>
      <sz val="11"/>
    </font>
    <font>
      <name val="Calibri"/>
      <b val="1"/>
      <color rgb="007A5320"/>
      <sz val="12"/>
    </font>
    <font>
      <b val="1"/>
      <color rgb="0012504C"/>
      <sz val="10"/>
    </font>
    <font>
      <i val="1"/>
      <color rgb="005A6472"/>
      <sz val="9"/>
    </font>
    <font>
      <name val="Calibri"/>
      <b val="1"/>
      <color rgb="00FFFFFF"/>
      <sz val="10"/>
    </font>
    <font>
      <b val="1"/>
      <color rgb="00FFFFFF"/>
      <sz val="8"/>
    </font>
    <font>
      <color rgb="007A5320"/>
      <sz val="9"/>
    </font>
    <font>
      <b val="1"/>
      <color rgb="001F2A38"/>
      <sz val="10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FCEFD6"/>
      </patternFill>
    </fill>
    <fill>
      <patternFill patternType="solid">
        <fgColor rgb="001F2A38"/>
      </patternFill>
    </fill>
    <fill>
      <patternFill patternType="solid">
        <fgColor rgb="00DCEBF7"/>
      </patternFill>
    </fill>
    <fill>
      <patternFill patternType="solid">
        <fgColor rgb="00EDEFF2"/>
      </patternFill>
    </fill>
    <fill>
      <patternFill patternType="solid">
        <fgColor rgb="00E3F0E1"/>
      </patternFill>
    </fill>
    <fill>
      <patternFill patternType="solid">
        <fgColor rgb="00FBF0DA"/>
      </patternFill>
    </fill>
    <fill>
      <patternFill patternType="solid">
        <fgColor rgb="00EFE6F5"/>
      </patternFill>
    </fill>
    <fill>
      <patternFill patternType="solid">
        <fgColor rgb="00E1F0EF"/>
      </patternFill>
    </fill>
    <fill>
      <patternFill patternType="solid">
        <fgColor rgb="00FDE8E4"/>
      </patternFill>
    </fill>
    <fill>
      <patternFill patternType="solid">
        <fgColor rgb="00EAF2D8"/>
      </patternFill>
    </fill>
    <fill>
      <patternFill patternType="solid">
        <fgColor rgb="00F3E7D2"/>
      </patternFill>
    </fill>
    <fill>
      <patternFill patternType="solid">
        <fgColor rgb="00E7ECF3"/>
      </patternFill>
    </fill>
    <fill>
      <patternFill patternType="solid">
        <fgColor rgb="00F0E4EE"/>
      </patternFill>
    </fill>
    <fill>
      <patternFill patternType="solid">
        <fgColor rgb="00E0EFE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0D7DD"/>
      </left>
      <right style="thin">
        <color rgb="00D0D7DD"/>
      </right>
      <top style="thin">
        <color rgb="00D0D7DD"/>
      </top>
      <bottom style="thin">
        <color rgb="00D0D7D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164" fontId="2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5" fontId="6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166" fontId="8" fillId="5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6" fontId="0" fillId="0" borderId="1" pivotButton="0" quotePrefix="0" xfId="0"/>
    <xf numFmtId="0" fontId="8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8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8" fillId="12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8" fillId="13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8" fillId="14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8" fillId="15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B23A48"/>
        </patternFill>
      </fill>
    </dxf>
    <dxf>
      <fill>
        <patternFill patternType="solid">
          <fgColor rgb="009AA7B4"/>
        </patternFill>
      </fill>
    </dxf>
    <dxf>
      <fill>
        <patternFill patternType="solid">
          <fgColor rgb="002E7D5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38" customWidth="1" min="4" max="4"/>
    <col width="9" customWidth="1" min="5" max="5"/>
    <col width="8" customWidth="1" min="6" max="6"/>
    <col width="16" customWidth="1" min="7" max="7"/>
    <col width="30" customWidth="1" min="8" max="8"/>
    <col width="12" customWidth="1" min="9" max="9"/>
    <col width="26" customWidth="1" min="10" max="10"/>
    <col width="11" customWidth="1" min="11" max="11"/>
    <col width="11" customWidth="1" min="12" max="12"/>
    <col width="3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</cols>
  <sheetData>
    <row r="1">
      <c r="A1" s="1" t="inlineStr">
        <is>
          <t>Project Start (edit to re-base whole schedule) ▶</t>
        </is>
      </c>
      <c r="B1" s="2">
        <f>TODAY()</f>
        <v/>
      </c>
    </row>
    <row r="2">
      <c r="A2" s="3" t="inlineStr">
        <is>
          <t>Project</t>
        </is>
      </c>
      <c r="B2" t="inlineStr">
        <is>
          <t>(from intake)</t>
        </is>
      </c>
      <c r="D2" s="3" t="inlineStr">
        <is>
          <t>PM</t>
        </is>
      </c>
      <c r="E2" t="inlineStr">
        <is>
          <t>(from intake)</t>
        </is>
      </c>
    </row>
    <row r="3">
      <c r="A3" s="3" t="inlineStr">
        <is>
          <t>Security review</t>
        </is>
      </c>
      <c r="B3" t="inlineStr">
        <is>
          <t>(from intake)</t>
        </is>
      </c>
      <c r="D3" s="3" t="inlineStr">
        <is>
          <t>Protected data</t>
        </is>
      </c>
      <c r="E3" t="inlineStr">
        <is>
          <t>(from intake)</t>
        </is>
      </c>
    </row>
    <row r="4">
      <c r="A4" s="3" t="inlineStr">
        <is>
          <t>Fired by intake</t>
        </is>
      </c>
      <c r="B4" t="inlineStr">
        <is>
          <t>(from intake)</t>
        </is>
      </c>
    </row>
    <row r="5" ht="42" customHeight="1">
      <c r="A5" s="4" t="inlineStr">
        <is>
          <t>Dates are Excel formulas off B1 — change B1 (or let the Autogenerator stamp the project start) and the whole schedule + Gantt re-base. ⚠ EXTERNAL tasks are anchored provisionally to the project start; wire them to your own project tasks. Bars are conditional formatting (recompute automatically). ◆ = milestone.</t>
        </is>
      </c>
    </row>
    <row r="6">
      <c r="A6" s="5" t="inlineStr">
        <is>
          <t>Task ID</t>
        </is>
      </c>
      <c r="B6" s="5" t="inlineStr">
        <is>
          <t>Category</t>
        </is>
      </c>
      <c r="C6" s="5" t="inlineStr">
        <is>
          <t>System / Component</t>
        </is>
      </c>
      <c r="D6" s="5" t="inlineStr">
        <is>
          <t>Task Name</t>
        </is>
      </c>
      <c r="E6" s="5" t="inlineStr">
        <is>
          <t>Type</t>
        </is>
      </c>
      <c r="F6" s="5" t="inlineStr">
        <is>
          <t>Duration (days)</t>
        </is>
      </c>
      <c r="G6" s="5" t="inlineStr">
        <is>
          <t>Predecessor IDs</t>
        </is>
      </c>
      <c r="H6" s="5" t="inlineStr">
        <is>
          <t>Predecessor (plain English)</t>
        </is>
      </c>
      <c r="I6" s="5" t="inlineStr">
        <is>
          <t>Successor IDs</t>
        </is>
      </c>
      <c r="J6" s="5" t="inlineStr">
        <is>
          <t>Status</t>
        </is>
      </c>
      <c r="K6" s="5" t="inlineStr">
        <is>
          <t>Start</t>
        </is>
      </c>
      <c r="L6" s="5" t="inlineStr">
        <is>
          <t>Finish</t>
        </is>
      </c>
      <c r="M6" s="5" t="inlineStr">
        <is>
          <t>Notes</t>
        </is>
      </c>
      <c r="N6" s="6">
        <f>$B$1+0</f>
        <v/>
      </c>
      <c r="O6" s="6">
        <f>$B$1+7</f>
        <v/>
      </c>
      <c r="P6" s="6">
        <f>$B$1+14</f>
        <v/>
      </c>
      <c r="Q6" s="6">
        <f>$B$1+21</f>
        <v/>
      </c>
      <c r="R6" s="6">
        <f>$B$1+28</f>
        <v/>
      </c>
      <c r="S6" s="6">
        <f>$B$1+35</f>
        <v/>
      </c>
      <c r="T6" s="6">
        <f>$B$1+42</f>
        <v/>
      </c>
      <c r="U6" s="6">
        <f>$B$1+49</f>
        <v/>
      </c>
      <c r="V6" s="6">
        <f>$B$1+56</f>
        <v/>
      </c>
      <c r="W6" s="6">
        <f>$B$1+63</f>
        <v/>
      </c>
      <c r="X6" s="6">
        <f>$B$1+70</f>
        <v/>
      </c>
      <c r="Y6" s="6">
        <f>$B$1+77</f>
        <v/>
      </c>
      <c r="Z6" s="6">
        <f>$B$1+84</f>
        <v/>
      </c>
      <c r="AA6" s="6">
        <f>$B$1+91</f>
        <v/>
      </c>
      <c r="AB6" s="6">
        <f>$B$1+98</f>
        <v/>
      </c>
      <c r="AC6" s="6">
        <f>$B$1+105</f>
        <v/>
      </c>
      <c r="AD6" s="6">
        <f>$B$1+112</f>
        <v/>
      </c>
      <c r="AE6" s="6">
        <f>$B$1+119</f>
        <v/>
      </c>
      <c r="AF6" s="6">
        <f>$B$1+126</f>
        <v/>
      </c>
      <c r="AG6" s="6">
        <f>$B$1+133</f>
        <v/>
      </c>
      <c r="AH6" s="6">
        <f>$B$1+140</f>
        <v/>
      </c>
      <c r="AI6" s="6">
        <f>$B$1+147</f>
        <v/>
      </c>
      <c r="AJ6" s="6">
        <f>$B$1+154</f>
        <v/>
      </c>
      <c r="AK6" s="6">
        <f>$B$1+161</f>
        <v/>
      </c>
      <c r="AL6" s="6">
        <f>$B$1+168</f>
        <v/>
      </c>
      <c r="AM6" s="6">
        <f>$B$1+175</f>
        <v/>
      </c>
      <c r="AN6" s="6">
        <f>$B$1+182</f>
        <v/>
      </c>
      <c r="AO6" s="6">
        <f>$B$1+189</f>
        <v/>
      </c>
      <c r="AP6" s="6">
        <f>$B$1+196</f>
        <v/>
      </c>
      <c r="AQ6" s="6">
        <f>$B$1+203</f>
        <v/>
      </c>
      <c r="AR6" s="6">
        <f>$B$1+210</f>
        <v/>
      </c>
    </row>
    <row r="7">
      <c r="A7" s="7" t="n">
        <v>1</v>
      </c>
      <c r="B7" s="8" t="inlineStr">
        <is>
          <t>CSD - Privacy Policy</t>
        </is>
      </c>
      <c r="C7" s="7" t="inlineStr">
        <is>
          <t>Parent rollup</t>
        </is>
      </c>
      <c r="D7" s="7" t="inlineStr">
        <is>
          <t>Cyber Security Division Artifacts</t>
        </is>
      </c>
      <c r="E7" s="7" t="inlineStr">
        <is>
          <t>Rollup</t>
        </is>
      </c>
      <c r="F7" s="7" t="n">
        <v>81</v>
      </c>
      <c r="G7" s="7" t="inlineStr"/>
      <c r="H7" s="7" t="inlineStr">
        <is>
          <t>n/a (rollup)</t>
        </is>
      </c>
      <c r="I7" s="7" t="n"/>
      <c r="J7" s="7" t="inlineStr"/>
      <c r="K7" s="9">
        <f>IF(COUNT(K8:K9)=0,"",MIN(K8:K9))</f>
        <v/>
      </c>
      <c r="L7" s="9">
        <f>IF(COUNT(L8:L9)=0,"",MAX(L8:L9))</f>
        <v/>
      </c>
      <c r="M7" s="7" t="inlineStr">
        <is>
          <t>Parent rollup for Privacy Policy + PIA + SSP</t>
        </is>
      </c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</row>
    <row r="8">
      <c r="A8" s="11" t="n">
        <v>2</v>
      </c>
      <c r="B8" s="12" t="inlineStr">
        <is>
          <t>CSD - Privacy Policy</t>
        </is>
      </c>
      <c r="C8" s="11" t="inlineStr">
        <is>
          <t>All Systems</t>
        </is>
      </c>
      <c r="D8" s="11" t="inlineStr">
        <is>
          <t>Privacy Policy Updates</t>
        </is>
      </c>
      <c r="E8" s="11" t="inlineStr">
        <is>
          <t>Work</t>
        </is>
      </c>
      <c r="F8" s="11" t="n">
        <v>31</v>
      </c>
      <c r="G8" s="11" t="inlineStr">
        <is>
          <t>11</t>
        </is>
      </c>
      <c r="H8" s="11" t="inlineStr">
        <is>
          <t>After Salesforce/Socure/TRef PIA Complete</t>
        </is>
      </c>
      <c r="I8" s="11" t="inlineStr">
        <is>
          <t>18</t>
        </is>
      </c>
      <c r="J8" s="13" t="inlineStr"/>
      <c r="K8" s="14">
        <f>IFERROR(MAX(L17),"")</f>
        <v/>
      </c>
      <c r="L8" s="14">
        <f>IF(K8="","",K8+F8)</f>
        <v/>
      </c>
      <c r="M8" s="11" t="inlineStr">
        <is>
          <t>Triggered by PIA completion</t>
        </is>
      </c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</row>
    <row r="9">
      <c r="A9" s="11" t="n">
        <v>3</v>
      </c>
      <c r="B9" s="12" t="inlineStr">
        <is>
          <t>CSD - Privacy Policy</t>
        </is>
      </c>
      <c r="C9" s="11" t="inlineStr">
        <is>
          <t>All Systems</t>
        </is>
      </c>
      <c r="D9" s="11" t="inlineStr">
        <is>
          <t>Update Privacy Notice</t>
        </is>
      </c>
      <c r="E9" s="11" t="inlineStr">
        <is>
          <t>Work</t>
        </is>
      </c>
      <c r="F9" s="11" t="n">
        <v>15</v>
      </c>
      <c r="G9" s="11" t="inlineStr">
        <is>
          <t>11</t>
        </is>
      </c>
      <c r="H9" s="11" t="inlineStr">
        <is>
          <t>After Salesforce/Socure/TRef PIA Complete</t>
        </is>
      </c>
      <c r="I9" s="11" t="inlineStr">
        <is>
          <t>Ext</t>
        </is>
      </c>
      <c r="J9" s="13" t="inlineStr"/>
      <c r="K9" s="14">
        <f>IFERROR(MAX(L17),"")</f>
        <v/>
      </c>
      <c r="L9" s="14">
        <f>IF(K9="","",K9+F9)</f>
        <v/>
      </c>
      <c r="M9" s="11" t="inlineStr">
        <is>
          <t>Customer-facing notice update. Successor 590 = Execution Complete (external)</t>
        </is>
      </c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</row>
    <row r="10">
      <c r="A10" s="7" t="n">
        <v>4</v>
      </c>
      <c r="B10" s="15" t="inlineStr">
        <is>
          <t>CSD - PIA</t>
        </is>
      </c>
      <c r="C10" s="7" t="inlineStr">
        <is>
          <t>Parent rollup</t>
        </is>
      </c>
      <c r="D10" s="7" t="inlineStr">
        <is>
          <t>Privacy Impact Assessments (PIA)</t>
        </is>
      </c>
      <c r="E10" s="7" t="inlineStr">
        <is>
          <t>Rollup</t>
        </is>
      </c>
      <c r="F10" s="7" t="n">
        <v>83</v>
      </c>
      <c r="G10" s="7" t="inlineStr"/>
      <c r="H10" s="7" t="inlineStr">
        <is>
          <t>n/a (rollup)</t>
        </is>
      </c>
      <c r="I10" s="7" t="n"/>
      <c r="J10" s="7" t="inlineStr"/>
      <c r="K10" s="9">
        <f>IF(COUNT(K11:K24)=0,"",MIN(K11:K24))</f>
        <v/>
      </c>
      <c r="L10" s="9">
        <f>IF(COUNT(L11:L24)=0,"",MAX(L11:L24))</f>
        <v/>
      </c>
      <c r="M10" s="7" t="inlineStr">
        <is>
          <t>PIA group rollup</t>
        </is>
      </c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</row>
    <row r="11">
      <c r="A11" s="7" t="n">
        <v>5</v>
      </c>
      <c r="B11" s="15" t="inlineStr">
        <is>
          <t>CSD - PIA</t>
        </is>
      </c>
      <c r="C11" s="7" t="inlineStr">
        <is>
          <t>Salesforce/Socure/TRef</t>
        </is>
      </c>
      <c r="D11" s="7" t="inlineStr">
        <is>
          <t>Salesforce/Socure/TRef PIA</t>
        </is>
      </c>
      <c r="E11" s="7" t="inlineStr">
        <is>
          <t>Rollup</t>
        </is>
      </c>
      <c r="F11" s="7" t="n">
        <v>65</v>
      </c>
      <c r="G11" s="7" t="inlineStr"/>
      <c r="H11" s="7" t="inlineStr">
        <is>
          <t>n/a (rollup)</t>
        </is>
      </c>
      <c r="I11" s="7" t="n"/>
      <c r="J11" s="7" t="inlineStr"/>
      <c r="K11" s="9">
        <f>IF(COUNT(K12:K17)=0,"",MIN(K12:K17))</f>
        <v/>
      </c>
      <c r="L11" s="9">
        <f>IF(COUNT(L12:L17)=0,"",MAX(L12:L17))</f>
        <v/>
      </c>
      <c r="M11" s="7" t="inlineStr">
        <is>
          <t>Vendor system PIA sub-rollup</t>
        </is>
      </c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</row>
    <row r="12">
      <c r="A12" s="11" t="n">
        <v>6</v>
      </c>
      <c r="B12" s="16" t="inlineStr">
        <is>
          <t>CSD - PIA</t>
        </is>
      </c>
      <c r="C12" s="11" t="inlineStr">
        <is>
          <t>Salesforce/Socure/TRef</t>
        </is>
      </c>
      <c r="D12" s="11" t="inlineStr">
        <is>
          <t>Update and Submit Salesforce/Socure/TRef PIA</t>
        </is>
      </c>
      <c r="E12" s="11" t="inlineStr">
        <is>
          <t>Work</t>
        </is>
      </c>
      <c r="F12" s="11" t="n">
        <v>2</v>
      </c>
      <c r="G12" s="11" t="inlineStr">
        <is>
          <t>ExtFS-19d</t>
        </is>
      </c>
      <c r="H12" s="11" t="inlineStr">
        <is>
          <t>EXTERNAL: starts ~19 days before related design task in main project</t>
        </is>
      </c>
      <c r="I12" s="11" t="inlineStr">
        <is>
          <t>7FS+2d</t>
        </is>
      </c>
      <c r="J12" s="13" t="inlineStr">
        <is>
          <t>⚠ EXTERNAL — provisional from project start; wire to your project task</t>
        </is>
      </c>
      <c r="K12" s="14">
        <f>$B$1</f>
        <v/>
      </c>
      <c r="L12" s="14">
        <f>IF(K12="","",K12+F12)</f>
        <v/>
      </c>
      <c r="M12" s="11" t="inlineStr">
        <is>
          <t>Starts PIA cycle</t>
        </is>
      </c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</row>
    <row r="13">
      <c r="A13" s="11" t="n">
        <v>7</v>
      </c>
      <c r="B13" s="16" t="inlineStr">
        <is>
          <t>CSD - PIA</t>
        </is>
      </c>
      <c r="C13" s="11" t="inlineStr">
        <is>
          <t>Salesforce/Socure/TRef</t>
        </is>
      </c>
      <c r="D13" s="11" t="inlineStr">
        <is>
          <t>Review and Approve PIA</t>
        </is>
      </c>
      <c r="E13" s="11" t="inlineStr">
        <is>
          <t>Work</t>
        </is>
      </c>
      <c r="F13" s="11" t="n">
        <v>10</v>
      </c>
      <c r="G13" s="11" t="inlineStr">
        <is>
          <t>6FS+2d</t>
        </is>
      </c>
      <c r="H13" s="11" t="inlineStr">
        <is>
          <t>After Update and Submit PIA (with 2d lag)</t>
        </is>
      </c>
      <c r="I13" s="11" t="inlineStr">
        <is>
          <t>8</t>
        </is>
      </c>
      <c r="J13" s="13" t="inlineStr"/>
      <c r="K13" s="14">
        <f>IFERROR(MAX(L12+2),"")</f>
        <v/>
      </c>
      <c r="L13" s="14">
        <f>IF(K13="","",K13+F13)</f>
        <v/>
      </c>
      <c r="M13" s="11" t="inlineStr">
        <is>
          <t>First CSD review</t>
        </is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</row>
    <row r="14">
      <c r="A14" s="11" t="n">
        <v>8</v>
      </c>
      <c r="B14" s="16" t="inlineStr">
        <is>
          <t>CSD - PIA</t>
        </is>
      </c>
      <c r="C14" s="11" t="inlineStr">
        <is>
          <t>Salesforce/Socure/TRef</t>
        </is>
      </c>
      <c r="D14" s="11" t="inlineStr">
        <is>
          <t>OSaaS respond to CSD comments</t>
        </is>
      </c>
      <c r="E14" s="11" t="inlineStr">
        <is>
          <t>Work</t>
        </is>
      </c>
      <c r="F14" s="11" t="n">
        <v>36</v>
      </c>
      <c r="G14" s="11" t="inlineStr">
        <is>
          <t>7</t>
        </is>
      </c>
      <c r="H14" s="11" t="inlineStr">
        <is>
          <t>After Review and Approve PIA</t>
        </is>
      </c>
      <c r="I14" s="11" t="inlineStr">
        <is>
          <t>11</t>
        </is>
      </c>
      <c r="J14" s="13" t="inlineStr"/>
      <c r="K14" s="14">
        <f>IFERROR(MAX(L13),"")</f>
        <v/>
      </c>
      <c r="L14" s="14">
        <f>IF(K14="","",K14+F14)</f>
        <v/>
      </c>
      <c r="M14" s="11" t="inlineStr">
        <is>
          <t>Vendor remediation</t>
        </is>
      </c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</row>
    <row r="15">
      <c r="A15" s="11" t="n">
        <v>9</v>
      </c>
      <c r="B15" s="16" t="inlineStr">
        <is>
          <t>CSD - PIA</t>
        </is>
      </c>
      <c r="C15" s="11" t="inlineStr">
        <is>
          <t>Salesforce/Socure/TRef</t>
        </is>
      </c>
      <c r="D15" s="11" t="inlineStr">
        <is>
          <t>Re-Review PIA due to Scope Change</t>
        </is>
      </c>
      <c r="E15" s="11" t="inlineStr">
        <is>
          <t>Work</t>
        </is>
      </c>
      <c r="F15" s="11" t="n">
        <v>13</v>
      </c>
      <c r="G15" s="11" t="inlineStr">
        <is>
          <t>Ext</t>
        </is>
      </c>
      <c r="H15" s="11" t="inlineStr">
        <is>
          <t>EXTERNAL: scope change trigger</t>
        </is>
      </c>
      <c r="I15" s="11" t="inlineStr">
        <is>
          <t>10</t>
        </is>
      </c>
      <c r="J15" s="13" t="inlineStr">
        <is>
          <t>⚠ EXTERNAL — provisional from project start; wire to your project task</t>
        </is>
      </c>
      <c r="K15" s="14">
        <f>$B$1</f>
        <v/>
      </c>
      <c r="L15" s="14">
        <f>IF(K15="","",K15+F15)</f>
        <v/>
      </c>
      <c r="M15" s="11" t="inlineStr">
        <is>
          <t>Only fires on scope change. Optional in template.</t>
        </is>
      </c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</row>
    <row r="16">
      <c r="A16" s="11" t="n">
        <v>10</v>
      </c>
      <c r="B16" s="16" t="inlineStr">
        <is>
          <t>CSD - PIA</t>
        </is>
      </c>
      <c r="C16" s="11" t="inlineStr">
        <is>
          <t>Salesforce/Socure/TRef</t>
        </is>
      </c>
      <c r="D16" s="11" t="inlineStr">
        <is>
          <t>Review and Approve PIA (post scope change)</t>
        </is>
      </c>
      <c r="E16" s="11" t="inlineStr">
        <is>
          <t>Work</t>
        </is>
      </c>
      <c r="F16" s="11" t="n">
        <v>3</v>
      </c>
      <c r="G16" s="11" t="inlineStr">
        <is>
          <t>9</t>
        </is>
      </c>
      <c r="H16" s="11" t="inlineStr">
        <is>
          <t>After Re-Review PIA</t>
        </is>
      </c>
      <c r="I16" s="11" t="inlineStr">
        <is>
          <t>11</t>
        </is>
      </c>
      <c r="J16" s="13" t="inlineStr"/>
      <c r="K16" s="14">
        <f>IFERROR(MAX(L15),"")</f>
        <v/>
      </c>
      <c r="L16" s="14">
        <f>IF(K16="","",K16+F16)</f>
        <v/>
      </c>
      <c r="M16" s="11" t="inlineStr">
        <is>
          <t>Re-approval. Optional in template.</t>
        </is>
      </c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</row>
    <row r="17">
      <c r="A17" s="11" t="n">
        <v>11</v>
      </c>
      <c r="B17" s="16" t="inlineStr">
        <is>
          <t>CSD - PIA</t>
        </is>
      </c>
      <c r="C17" s="11" t="inlineStr">
        <is>
          <t>Salesforce/Socure/TRef</t>
        </is>
      </c>
      <c r="D17" s="11" t="inlineStr">
        <is>
          <t>Salesforce/Socure/TRef PIA Complete</t>
        </is>
      </c>
      <c r="E17" s="11" t="inlineStr">
        <is>
          <t>Milestone</t>
        </is>
      </c>
      <c r="F17" s="11" t="n">
        <v>0</v>
      </c>
      <c r="G17" s="11" t="inlineStr">
        <is>
          <t>8, 10</t>
        </is>
      </c>
      <c r="H17" s="11" t="inlineStr">
        <is>
          <t>After comments resolved AND re-approval</t>
        </is>
      </c>
      <c r="I17" s="11" t="inlineStr">
        <is>
          <t>2, 18, 3</t>
        </is>
      </c>
      <c r="J17" s="13" t="inlineStr"/>
      <c r="K17" s="14">
        <f>IFERROR(MAX(L14,L16),"")</f>
        <v/>
      </c>
      <c r="L17" s="14">
        <f>K17</f>
        <v/>
      </c>
      <c r="M17" s="11" t="inlineStr">
        <is>
          <t>Unblocks Privacy Policy work</t>
        </is>
      </c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</row>
    <row r="18">
      <c r="A18" s="7" t="n">
        <v>12</v>
      </c>
      <c r="B18" s="15" t="inlineStr">
        <is>
          <t>CSD - PIA</t>
        </is>
      </c>
      <c r="C18" s="7" t="inlineStr">
        <is>
          <t>Admin Utility</t>
        </is>
      </c>
      <c r="D18" s="7" t="inlineStr">
        <is>
          <t>Admin Utility PIA</t>
        </is>
      </c>
      <c r="E18" s="7" t="inlineStr">
        <is>
          <t>Rollup</t>
        </is>
      </c>
      <c r="F18" s="7" t="n">
        <v>31</v>
      </c>
      <c r="G18" s="7" t="inlineStr"/>
      <c r="H18" s="7" t="inlineStr">
        <is>
          <t>n/a (rollup)</t>
        </is>
      </c>
      <c r="I18" s="7" t="n"/>
      <c r="J18" s="7" t="inlineStr"/>
      <c r="K18" s="9">
        <f>IF(COUNT(K19:K24)=0,"",MIN(K19:K24))</f>
        <v/>
      </c>
      <c r="L18" s="9">
        <f>IF(COUNT(L19:L24)=0,"",MAX(L19:L24))</f>
        <v/>
      </c>
      <c r="M18" s="7" t="inlineStr">
        <is>
          <t>Admin Utility PIA sub-rollup</t>
        </is>
      </c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</row>
    <row r="19">
      <c r="A19" s="11" t="n">
        <v>13</v>
      </c>
      <c r="B19" s="16" t="inlineStr">
        <is>
          <t>CSD - PIA</t>
        </is>
      </c>
      <c r="C19" s="11" t="inlineStr">
        <is>
          <t>Admin Utility</t>
        </is>
      </c>
      <c r="D19" s="11" t="inlineStr">
        <is>
          <t>Update and Submit Admin Utility PIA</t>
        </is>
      </c>
      <c r="E19" s="11" t="inlineStr">
        <is>
          <t>Work</t>
        </is>
      </c>
      <c r="F19" s="11" t="n">
        <v>4</v>
      </c>
      <c r="G19" s="11" t="inlineStr">
        <is>
          <t>ExtFS-6d</t>
        </is>
      </c>
      <c r="H19" s="11" t="inlineStr">
        <is>
          <t>EXTERNAL: starts ~6 days before related design task</t>
        </is>
      </c>
      <c r="I19" s="11" t="inlineStr">
        <is>
          <t>14</t>
        </is>
      </c>
      <c r="J19" s="13" t="inlineStr">
        <is>
          <t>⚠ EXTERNAL — provisional from project start; wire to your project task</t>
        </is>
      </c>
      <c r="K19" s="14">
        <f>$B$1</f>
        <v/>
      </c>
      <c r="L19" s="14">
        <f>IF(K19="","",K19+F19)</f>
        <v/>
      </c>
      <c r="M19" s="11" t="inlineStr">
        <is>
          <t>Starts PIA cycle</t>
        </is>
      </c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</row>
    <row r="20">
      <c r="A20" s="11" t="n">
        <v>14</v>
      </c>
      <c r="B20" s="16" t="inlineStr">
        <is>
          <t>CSD - PIA</t>
        </is>
      </c>
      <c r="C20" s="11" t="inlineStr">
        <is>
          <t>Admin Utility</t>
        </is>
      </c>
      <c r="D20" s="11" t="inlineStr">
        <is>
          <t>Review Admin Utility PIA</t>
        </is>
      </c>
      <c r="E20" s="11" t="inlineStr">
        <is>
          <t>Work</t>
        </is>
      </c>
      <c r="F20" s="11" t="n">
        <v>11</v>
      </c>
      <c r="G20" s="11" t="inlineStr">
        <is>
          <t>13</t>
        </is>
      </c>
      <c r="H20" s="11" t="inlineStr">
        <is>
          <t>After Update and Submit</t>
        </is>
      </c>
      <c r="I20" s="11" t="inlineStr">
        <is>
          <t>15</t>
        </is>
      </c>
      <c r="J20" s="13" t="inlineStr"/>
      <c r="K20" s="14">
        <f>IFERROR(MAX(L19),"")</f>
        <v/>
      </c>
      <c r="L20" s="14">
        <f>IF(K20="","",K20+F20)</f>
        <v/>
      </c>
      <c r="M20" s="11" t="inlineStr">
        <is>
          <t>CSD review</t>
        </is>
      </c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</row>
    <row r="21">
      <c r="A21" s="11" t="n">
        <v>15</v>
      </c>
      <c r="B21" s="16" t="inlineStr">
        <is>
          <t>CSD - PIA</t>
        </is>
      </c>
      <c r="C21" s="11" t="inlineStr">
        <is>
          <t>Admin Utility</t>
        </is>
      </c>
      <c r="D21" s="11" t="inlineStr">
        <is>
          <t>Final edits/updates to Admin Utility PIA</t>
        </is>
      </c>
      <c r="E21" s="11" t="inlineStr">
        <is>
          <t>Work</t>
        </is>
      </c>
      <c r="F21" s="11" t="n">
        <v>9</v>
      </c>
      <c r="G21" s="11" t="inlineStr">
        <is>
          <t>14</t>
        </is>
      </c>
      <c r="H21" s="11" t="inlineStr">
        <is>
          <t>After Review</t>
        </is>
      </c>
      <c r="I21" s="11" t="inlineStr">
        <is>
          <t>16</t>
        </is>
      </c>
      <c r="J21" s="13" t="inlineStr"/>
      <c r="K21" s="14">
        <f>IFERROR(MAX(L20),"")</f>
        <v/>
      </c>
      <c r="L21" s="14">
        <f>IF(K21="","",K21+F21)</f>
        <v/>
      </c>
      <c r="M21" s="11" t="inlineStr">
        <is>
          <t>Owner edits</t>
        </is>
      </c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</row>
    <row r="22">
      <c r="A22" s="11" t="n">
        <v>16</v>
      </c>
      <c r="B22" s="16" t="inlineStr">
        <is>
          <t>CSD - PIA</t>
        </is>
      </c>
      <c r="C22" s="11" t="inlineStr">
        <is>
          <t>Admin Utility</t>
        </is>
      </c>
      <c r="D22" s="11" t="inlineStr">
        <is>
          <t>Approve Admin Utility PIA</t>
        </is>
      </c>
      <c r="E22" s="11" t="inlineStr">
        <is>
          <t>Work</t>
        </is>
      </c>
      <c r="F22" s="11" t="n">
        <v>7</v>
      </c>
      <c r="G22" s="11" t="inlineStr">
        <is>
          <t>15</t>
        </is>
      </c>
      <c r="H22" s="11" t="inlineStr">
        <is>
          <t>After Final edits</t>
        </is>
      </c>
      <c r="I22" s="11" t="inlineStr">
        <is>
          <t>17</t>
        </is>
      </c>
      <c r="J22" s="13" t="inlineStr"/>
      <c r="K22" s="14">
        <f>IFERROR(MAX(L21),"")</f>
        <v/>
      </c>
      <c r="L22" s="14">
        <f>IF(K22="","",K22+F22)</f>
        <v/>
      </c>
      <c r="M22" s="11" t="inlineStr">
        <is>
          <t>Final approval</t>
        </is>
      </c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</row>
    <row r="23">
      <c r="A23" s="11" t="n">
        <v>17</v>
      </c>
      <c r="B23" s="16" t="inlineStr">
        <is>
          <t>CSD - PIA</t>
        </is>
      </c>
      <c r="C23" s="11" t="inlineStr">
        <is>
          <t>Admin Utility</t>
        </is>
      </c>
      <c r="D23" s="11" t="inlineStr">
        <is>
          <t>Admin Utility PIA complete</t>
        </is>
      </c>
      <c r="E23" s="11" t="inlineStr">
        <is>
          <t>Milestone</t>
        </is>
      </c>
      <c r="F23" s="11" t="n">
        <v>0</v>
      </c>
      <c r="G23" s="11" t="inlineStr">
        <is>
          <t>16</t>
        </is>
      </c>
      <c r="H23" s="11" t="inlineStr">
        <is>
          <t>After Approve</t>
        </is>
      </c>
      <c r="I23" s="11" t="inlineStr">
        <is>
          <t>18</t>
        </is>
      </c>
      <c r="J23" s="13" t="inlineStr"/>
      <c r="K23" s="14">
        <f>IFERROR(MAX(L22),"")</f>
        <v/>
      </c>
      <c r="L23" s="14">
        <f>K23</f>
        <v/>
      </c>
      <c r="M23" s="11" t="inlineStr">
        <is>
          <t>Milestone</t>
        </is>
      </c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</row>
    <row r="24">
      <c r="A24" s="11" t="n">
        <v>18</v>
      </c>
      <c r="B24" s="16" t="inlineStr">
        <is>
          <t>CSD - PIA</t>
        </is>
      </c>
      <c r="C24" s="11" t="inlineStr">
        <is>
          <t>All Systems</t>
        </is>
      </c>
      <c r="D24" s="11" t="inlineStr">
        <is>
          <t>PIAs complete</t>
        </is>
      </c>
      <c r="E24" s="11" t="inlineStr">
        <is>
          <t>Milestone</t>
        </is>
      </c>
      <c r="F24" s="11" t="n">
        <v>0</v>
      </c>
      <c r="G24" s="11" t="inlineStr">
        <is>
          <t>Ext, 17, 11, 2</t>
        </is>
      </c>
      <c r="H24" s="11" t="inlineStr">
        <is>
          <t>After all individual PIAs complete + Privacy Policy</t>
        </is>
      </c>
      <c r="I24" s="11" t="inlineStr">
        <is>
          <t>124</t>
        </is>
      </c>
      <c r="J24" s="13" t="inlineStr">
        <is>
          <t>⚠ Mixed — internal-dated; external leg may push start later</t>
        </is>
      </c>
      <c r="K24" s="14">
        <f>IFERROR(MAX(L23,L17,L8),"")</f>
        <v/>
      </c>
      <c r="L24" s="14">
        <f>K24</f>
        <v/>
      </c>
      <c r="M24" s="11" t="inlineStr">
        <is>
          <t>Group milestone</t>
        </is>
      </c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</row>
    <row r="25">
      <c r="A25" s="7" t="n">
        <v>19</v>
      </c>
      <c r="B25" s="17" t="inlineStr">
        <is>
          <t>CSD - SSP</t>
        </is>
      </c>
      <c r="C25" s="7" t="inlineStr">
        <is>
          <t>Parent rollup</t>
        </is>
      </c>
      <c r="D25" s="7" t="inlineStr">
        <is>
          <t>System Security Plans (SSP)</t>
        </is>
      </c>
      <c r="E25" s="7" t="inlineStr">
        <is>
          <t>Rollup</t>
        </is>
      </c>
      <c r="F25" s="7" t="n">
        <v>119</v>
      </c>
      <c r="G25" s="7" t="inlineStr"/>
      <c r="H25" s="7" t="inlineStr">
        <is>
          <t>n/a (rollup)</t>
        </is>
      </c>
      <c r="I25" s="7" t="n"/>
      <c r="J25" s="7" t="inlineStr"/>
      <c r="K25" s="9">
        <f>IF(COUNT(K26:K43)=0,"",MIN(K26:K43))</f>
        <v/>
      </c>
      <c r="L25" s="9">
        <f>IF(COUNT(L26:L43)=0,"",MAX(L26:L43))</f>
        <v/>
      </c>
      <c r="M25" s="7" t="inlineStr">
        <is>
          <t>SSP group rollup</t>
        </is>
      </c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</row>
    <row r="26">
      <c r="A26" s="7" t="n">
        <v>20</v>
      </c>
      <c r="B26" s="17" t="inlineStr">
        <is>
          <t>CSD - SSP</t>
        </is>
      </c>
      <c r="C26" s="7" t="inlineStr">
        <is>
          <t>Salesforce/Socure/TRef</t>
        </is>
      </c>
      <c r="D26" s="7" t="inlineStr">
        <is>
          <t>Salesforce/Socure/TRef SSP</t>
        </is>
      </c>
      <c r="E26" s="7" t="inlineStr">
        <is>
          <t>Rollup</t>
        </is>
      </c>
      <c r="F26" s="7" t="n">
        <v>86</v>
      </c>
      <c r="G26" s="7" t="inlineStr"/>
      <c r="H26" s="7" t="inlineStr">
        <is>
          <t>n/a (rollup)</t>
        </is>
      </c>
      <c r="I26" s="7" t="n"/>
      <c r="J26" s="7" t="inlineStr"/>
      <c r="K26" s="9">
        <f>IF(COUNT(K27:K29)=0,"",MIN(K27:K29))</f>
        <v/>
      </c>
      <c r="L26" s="9">
        <f>IF(COUNT(L27:L29)=0,"",MAX(L27:L29))</f>
        <v/>
      </c>
      <c r="M26" s="7" t="inlineStr">
        <is>
          <t>Vendor system SSP sub-rollup</t>
        </is>
      </c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</row>
    <row r="27">
      <c r="A27" s="11" t="n">
        <v>21</v>
      </c>
      <c r="B27" s="18" t="inlineStr">
        <is>
          <t>CSD - SSP</t>
        </is>
      </c>
      <c r="C27" s="11" t="inlineStr">
        <is>
          <t>Salesforce/Socure/TRef</t>
        </is>
      </c>
      <c r="D27" s="11" t="inlineStr">
        <is>
          <t>Iterative reviews of Salesforce/Socure/TRef SSP</t>
        </is>
      </c>
      <c r="E27" s="11" t="inlineStr">
        <is>
          <t>Work</t>
        </is>
      </c>
      <c r="F27" s="11" t="n">
        <v>81</v>
      </c>
      <c r="G27" s="11" t="inlineStr">
        <is>
          <t>ExtFF-10d, ExtSS-15d</t>
        </is>
      </c>
      <c r="H27" s="11" t="inlineStr">
        <is>
          <t>EXTERNAL: tied to design finish minus 10d and design start minus 15d</t>
        </is>
      </c>
      <c r="I27" s="11" t="inlineStr">
        <is>
          <t>22</t>
        </is>
      </c>
      <c r="J27" s="13" t="inlineStr">
        <is>
          <t>⚠ EXTERNAL — provisional from project start; wire to your project task</t>
        </is>
      </c>
      <c r="K27" s="14">
        <f>$B$1</f>
        <v/>
      </c>
      <c r="L27" s="14">
        <f>IF(K27="","",K27+F27)</f>
        <v/>
      </c>
      <c r="M27" s="11" t="inlineStr">
        <is>
          <t>Long iterative review cycle with CSD</t>
        </is>
      </c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</row>
    <row r="28">
      <c r="A28" s="11" t="n">
        <v>22</v>
      </c>
      <c r="B28" s="18" t="inlineStr">
        <is>
          <t>CSD - SSP</t>
        </is>
      </c>
      <c r="C28" s="11" t="inlineStr">
        <is>
          <t>Salesforce/Socure/TRef</t>
        </is>
      </c>
      <c r="D28" s="11" t="inlineStr">
        <is>
          <t>Review and Approve SSP</t>
        </is>
      </c>
      <c r="E28" s="11" t="inlineStr">
        <is>
          <t>Work</t>
        </is>
      </c>
      <c r="F28" s="11" t="n">
        <v>5</v>
      </c>
      <c r="G28" s="11" t="inlineStr">
        <is>
          <t>21</t>
        </is>
      </c>
      <c r="H28" s="11" t="inlineStr">
        <is>
          <t>After iterative reviews</t>
        </is>
      </c>
      <c r="I28" s="11" t="inlineStr">
        <is>
          <t>23</t>
        </is>
      </c>
      <c r="J28" s="13" t="inlineStr"/>
      <c r="K28" s="14">
        <f>IFERROR(MAX(L27),"")</f>
        <v/>
      </c>
      <c r="L28" s="14">
        <f>IF(K28="","",K28+F28)</f>
        <v/>
      </c>
      <c r="M28" s="11" t="inlineStr">
        <is>
          <t>Final approval</t>
        </is>
      </c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</row>
    <row r="29">
      <c r="A29" s="11" t="n">
        <v>23</v>
      </c>
      <c r="B29" s="18" t="inlineStr">
        <is>
          <t>CSD - SSP</t>
        </is>
      </c>
      <c r="C29" s="11" t="inlineStr">
        <is>
          <t>Salesforce/Socure/TRef</t>
        </is>
      </c>
      <c r="D29" s="11" t="inlineStr">
        <is>
          <t>Salesforce/Socure/TRef SSP Complete</t>
        </is>
      </c>
      <c r="E29" s="11" t="inlineStr">
        <is>
          <t>Milestone</t>
        </is>
      </c>
      <c r="F29" s="11" t="n">
        <v>0</v>
      </c>
      <c r="G29" s="11" t="inlineStr">
        <is>
          <t>22</t>
        </is>
      </c>
      <c r="H29" s="11" t="inlineStr">
        <is>
          <t>After Review and Approve</t>
        </is>
      </c>
      <c r="I29" s="11" t="inlineStr">
        <is>
          <t>106, 37</t>
        </is>
      </c>
      <c r="J29" s="13" t="inlineStr"/>
      <c r="K29" s="14">
        <f>IFERROR(MAX(L28),"")</f>
        <v/>
      </c>
      <c r="L29" s="14">
        <f>K29</f>
        <v/>
      </c>
      <c r="M29" s="11" t="inlineStr">
        <is>
          <t>Unblocks ASA Testing</t>
        </is>
      </c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</row>
    <row r="30">
      <c r="A30" s="7" t="n">
        <v>24</v>
      </c>
      <c r="B30" s="17" t="inlineStr">
        <is>
          <t>CSD - SSP</t>
        </is>
      </c>
      <c r="C30" s="7" t="inlineStr">
        <is>
          <t>UIO</t>
        </is>
      </c>
      <c r="D30" s="7" t="inlineStr">
        <is>
          <t>UIO SSP</t>
        </is>
      </c>
      <c r="E30" s="7" t="inlineStr">
        <is>
          <t>Rollup</t>
        </is>
      </c>
      <c r="F30" s="7" t="n">
        <v>53</v>
      </c>
      <c r="G30" s="7" t="inlineStr"/>
      <c r="H30" s="7" t="inlineStr">
        <is>
          <t>n/a (rollup)</t>
        </is>
      </c>
      <c r="I30" s="7" t="n"/>
      <c r="J30" s="7" t="inlineStr"/>
      <c r="K30" s="9">
        <f>IF(COUNT(K31:K33)=0,"",MIN(K31:K33))</f>
        <v/>
      </c>
      <c r="L30" s="9">
        <f>IF(COUNT(L31:L33)=0,"",MAX(L31:L33))</f>
        <v/>
      </c>
      <c r="M30" s="7" t="inlineStr">
        <is>
          <t>UIO SSP sub-rollup</t>
        </is>
      </c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</row>
    <row r="31">
      <c r="A31" s="11" t="n">
        <v>25</v>
      </c>
      <c r="B31" s="18" t="inlineStr">
        <is>
          <t>CSD - SSP</t>
        </is>
      </c>
      <c r="C31" s="11" t="inlineStr">
        <is>
          <t>UIO</t>
        </is>
      </c>
      <c r="D31" s="11" t="inlineStr">
        <is>
          <t>Update and Submit UIO SSP</t>
        </is>
      </c>
      <c r="E31" s="11" t="inlineStr">
        <is>
          <t>Work</t>
        </is>
      </c>
      <c r="F31" s="11" t="n">
        <v>24</v>
      </c>
      <c r="G31" s="11" t="inlineStr">
        <is>
          <t>Ext, Ext, ExtFS+5d</t>
        </is>
      </c>
      <c r="H31" s="11" t="inlineStr">
        <is>
          <t>EXTERNAL: after related design and architecture tasks</t>
        </is>
      </c>
      <c r="I31" s="11" t="inlineStr">
        <is>
          <t>37, 26</t>
        </is>
      </c>
      <c r="J31" s="13" t="inlineStr">
        <is>
          <t>⚠ EXTERNAL — provisional from project start; wire to your project task</t>
        </is>
      </c>
      <c r="K31" s="14">
        <f>$B$1</f>
        <v/>
      </c>
      <c r="L31" s="14">
        <f>IF(K31="","",K31+F31)</f>
        <v/>
      </c>
      <c r="M31" s="11" t="inlineStr">
        <is>
          <t>Kickoff</t>
        </is>
      </c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</row>
    <row r="32">
      <c r="A32" s="11" t="n">
        <v>26</v>
      </c>
      <c r="B32" s="18" t="inlineStr">
        <is>
          <t>CSD - SSP</t>
        </is>
      </c>
      <c r="C32" s="11" t="inlineStr">
        <is>
          <t>UIO</t>
        </is>
      </c>
      <c r="D32" s="11" t="inlineStr">
        <is>
          <t>Review and Approve UIO SSP</t>
        </is>
      </c>
      <c r="E32" s="11" t="inlineStr">
        <is>
          <t>Work</t>
        </is>
      </c>
      <c r="F32" s="11" t="n">
        <v>29</v>
      </c>
      <c r="G32" s="11" t="inlineStr">
        <is>
          <t>25</t>
        </is>
      </c>
      <c r="H32" s="11" t="inlineStr">
        <is>
          <t>After Update and Submit</t>
        </is>
      </c>
      <c r="I32" s="11" t="inlineStr">
        <is>
          <t>27</t>
        </is>
      </c>
      <c r="J32" s="13" t="inlineStr"/>
      <c r="K32" s="14">
        <f>IFERROR(MAX(L31),"")</f>
        <v/>
      </c>
      <c r="L32" s="14">
        <f>IF(K32="","",K32+F32)</f>
        <v/>
      </c>
      <c r="M32" s="11" t="inlineStr">
        <is>
          <t>CSD review</t>
        </is>
      </c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</row>
    <row r="33">
      <c r="A33" s="11" t="n">
        <v>27</v>
      </c>
      <c r="B33" s="18" t="inlineStr">
        <is>
          <t>CSD - SSP</t>
        </is>
      </c>
      <c r="C33" s="11" t="inlineStr">
        <is>
          <t>UIO</t>
        </is>
      </c>
      <c r="D33" s="11" t="inlineStr">
        <is>
          <t>UIO SSP complete</t>
        </is>
      </c>
      <c r="E33" s="11" t="inlineStr">
        <is>
          <t>Milestone</t>
        </is>
      </c>
      <c r="F33" s="11" t="n">
        <v>0</v>
      </c>
      <c r="G33" s="11" t="inlineStr">
        <is>
          <t>26</t>
        </is>
      </c>
      <c r="H33" s="11" t="inlineStr">
        <is>
          <t>After Review and Approve</t>
        </is>
      </c>
      <c r="I33" s="11" t="inlineStr">
        <is>
          <t>37</t>
        </is>
      </c>
      <c r="J33" s="13" t="inlineStr"/>
      <c r="K33" s="14">
        <f>IFERROR(MAX(L32),"")</f>
        <v/>
      </c>
      <c r="L33" s="14">
        <f>K33</f>
        <v/>
      </c>
      <c r="M33" s="11" t="inlineStr">
        <is>
          <t>Milestone</t>
        </is>
      </c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</row>
    <row r="34">
      <c r="A34" s="7" t="n">
        <v>28</v>
      </c>
      <c r="B34" s="17" t="inlineStr">
        <is>
          <t>CSD - SSP</t>
        </is>
      </c>
      <c r="C34" s="7" t="inlineStr">
        <is>
          <t>ICAM</t>
        </is>
      </c>
      <c r="D34" s="7" t="inlineStr">
        <is>
          <t>ICAM System Requirement Specification (SSP)</t>
        </is>
      </c>
      <c r="E34" s="7" t="inlineStr">
        <is>
          <t>Rollup</t>
        </is>
      </c>
      <c r="F34" s="7" t="n">
        <v>32</v>
      </c>
      <c r="G34" s="7" t="inlineStr"/>
      <c r="H34" s="7" t="inlineStr">
        <is>
          <t>n/a (rollup)</t>
        </is>
      </c>
      <c r="I34" s="7" t="n"/>
      <c r="J34" s="7" t="inlineStr"/>
      <c r="K34" s="9">
        <f>IF(COUNT(K35:K37)=0,"",MIN(K35:K37))</f>
        <v/>
      </c>
      <c r="L34" s="9">
        <f>IF(COUNT(L35:L37)=0,"",MAX(L35:L37))</f>
        <v/>
      </c>
      <c r="M34" s="7" t="inlineStr">
        <is>
          <t>ICAM SSP sub-rollup</t>
        </is>
      </c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</row>
    <row r="35">
      <c r="A35" s="11" t="n">
        <v>29</v>
      </c>
      <c r="B35" s="18" t="inlineStr">
        <is>
          <t>CSD - SSP</t>
        </is>
      </c>
      <c r="C35" s="11" t="inlineStr">
        <is>
          <t>ICAM</t>
        </is>
      </c>
      <c r="D35" s="11" t="inlineStr">
        <is>
          <t>Update and submit ICAM SSP</t>
        </is>
      </c>
      <c r="E35" s="11" t="inlineStr">
        <is>
          <t>Work</t>
        </is>
      </c>
      <c r="F35" s="11" t="n">
        <v>27</v>
      </c>
      <c r="G35" s="11" t="inlineStr">
        <is>
          <t>ExtFS+15d</t>
        </is>
      </c>
      <c r="H35" s="11" t="inlineStr">
        <is>
          <t>EXTERNAL: 15 days after Dev Finish milestone</t>
        </is>
      </c>
      <c r="I35" s="11" t="inlineStr">
        <is>
          <t>30</t>
        </is>
      </c>
      <c r="J35" s="13" t="inlineStr">
        <is>
          <t>⚠ EXTERNAL — provisional from project start; wire to your project task</t>
        </is>
      </c>
      <c r="K35" s="14">
        <f>$B$1</f>
        <v/>
      </c>
      <c r="L35" s="14">
        <f>IF(K35="","",K35+F35)</f>
        <v/>
      </c>
      <c r="M35" s="11" t="inlineStr">
        <is>
          <t>Kickoff</t>
        </is>
      </c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</row>
    <row r="36">
      <c r="A36" s="11" t="n">
        <v>30</v>
      </c>
      <c r="B36" s="18" t="inlineStr">
        <is>
          <t>CSD - SSP</t>
        </is>
      </c>
      <c r="C36" s="11" t="inlineStr">
        <is>
          <t>ICAM</t>
        </is>
      </c>
      <c r="D36" s="11" t="inlineStr">
        <is>
          <t>Review and Approve ICAM SSP</t>
        </is>
      </c>
      <c r="E36" s="11" t="inlineStr">
        <is>
          <t>Work</t>
        </is>
      </c>
      <c r="F36" s="11" t="n">
        <v>5</v>
      </c>
      <c r="G36" s="11" t="inlineStr">
        <is>
          <t>29</t>
        </is>
      </c>
      <c r="H36" s="11" t="inlineStr">
        <is>
          <t>After Update and submit</t>
        </is>
      </c>
      <c r="I36" s="11" t="inlineStr">
        <is>
          <t>31</t>
        </is>
      </c>
      <c r="J36" s="13" t="inlineStr"/>
      <c r="K36" s="14">
        <f>IFERROR(MAX(L35),"")</f>
        <v/>
      </c>
      <c r="L36" s="14">
        <f>IF(K36="","",K36+F36)</f>
        <v/>
      </c>
      <c r="M36" s="11" t="inlineStr">
        <is>
          <t>CSD review</t>
        </is>
      </c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</row>
    <row r="37">
      <c r="A37" s="11" t="n">
        <v>31</v>
      </c>
      <c r="B37" s="18" t="inlineStr">
        <is>
          <t>CSD - SSP</t>
        </is>
      </c>
      <c r="C37" s="11" t="inlineStr">
        <is>
          <t>ICAM</t>
        </is>
      </c>
      <c r="D37" s="11" t="inlineStr">
        <is>
          <t>ICAM SRS complete</t>
        </is>
      </c>
      <c r="E37" s="11" t="inlineStr">
        <is>
          <t>Milestone</t>
        </is>
      </c>
      <c r="F37" s="11" t="n">
        <v>0</v>
      </c>
      <c r="G37" s="11" t="inlineStr">
        <is>
          <t>30</t>
        </is>
      </c>
      <c r="H37" s="11" t="inlineStr">
        <is>
          <t>After Review and Approve</t>
        </is>
      </c>
      <c r="I37" s="11" t="inlineStr">
        <is>
          <t>37</t>
        </is>
      </c>
      <c r="J37" s="13" t="inlineStr"/>
      <c r="K37" s="14">
        <f>IFERROR(MAX(L36),"")</f>
        <v/>
      </c>
      <c r="L37" s="14">
        <f>K37</f>
        <v/>
      </c>
      <c r="M37" s="11" t="inlineStr">
        <is>
          <t>Milestone</t>
        </is>
      </c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</row>
    <row r="38">
      <c r="A38" s="7" t="n">
        <v>32</v>
      </c>
      <c r="B38" s="17" t="inlineStr">
        <is>
          <t>CSD - SSP</t>
        </is>
      </c>
      <c r="C38" s="7" t="inlineStr">
        <is>
          <t>Admin Utility</t>
        </is>
      </c>
      <c r="D38" s="7" t="inlineStr">
        <is>
          <t>Admin Utility SSP</t>
        </is>
      </c>
      <c r="E38" s="7" t="inlineStr">
        <is>
          <t>Rollup</t>
        </is>
      </c>
      <c r="F38" s="7" t="n">
        <v>87</v>
      </c>
      <c r="G38" s="7" t="inlineStr"/>
      <c r="H38" s="7" t="inlineStr">
        <is>
          <t>n/a (rollup)</t>
        </is>
      </c>
      <c r="I38" s="7" t="n"/>
      <c r="J38" s="7" t="inlineStr"/>
      <c r="K38" s="9">
        <f>IF(COUNT(K39:K43)=0,"",MIN(K39:K43))</f>
        <v/>
      </c>
      <c r="L38" s="9">
        <f>IF(COUNT(L39:L43)=0,"",MAX(L39:L43))</f>
        <v/>
      </c>
      <c r="M38" s="7" t="inlineStr">
        <is>
          <t>Admin Utility SSP sub-rollup</t>
        </is>
      </c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</row>
    <row r="39">
      <c r="A39" s="11" t="n">
        <v>33</v>
      </c>
      <c r="B39" s="18" t="inlineStr">
        <is>
          <t>CSD - SSP</t>
        </is>
      </c>
      <c r="C39" s="11" t="inlineStr">
        <is>
          <t>Admin Utility</t>
        </is>
      </c>
      <c r="D39" s="11" t="inlineStr">
        <is>
          <t>Update and Submit Admin Utility SSP (Initial Draft)</t>
        </is>
      </c>
      <c r="E39" s="11" t="inlineStr">
        <is>
          <t>Work</t>
        </is>
      </c>
      <c r="F39" s="11" t="n">
        <v>17</v>
      </c>
      <c r="G39" s="11" t="inlineStr">
        <is>
          <t>ExtSS</t>
        </is>
      </c>
      <c r="H39" s="11" t="inlineStr">
        <is>
          <t>EXTERNAL: starts with linked dev task</t>
        </is>
      </c>
      <c r="I39" s="11" t="inlineStr">
        <is>
          <t>93SS, 34FS+57d</t>
        </is>
      </c>
      <c r="J39" s="13" t="inlineStr">
        <is>
          <t>⚠ EXTERNAL — provisional from project start; wire to your project task</t>
        </is>
      </c>
      <c r="K39" s="14">
        <f>$B$1</f>
        <v/>
      </c>
      <c r="L39" s="14">
        <f>IF(K39="","",K39+F39)</f>
        <v/>
      </c>
      <c r="M39" s="11" t="inlineStr">
        <is>
          <t>Initial draft</t>
        </is>
      </c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</row>
    <row r="40">
      <c r="A40" s="11" t="n">
        <v>34</v>
      </c>
      <c r="B40" s="18" t="inlineStr">
        <is>
          <t>CSD - SSP</t>
        </is>
      </c>
      <c r="C40" s="11" t="inlineStr">
        <is>
          <t>Admin Utility</t>
        </is>
      </c>
      <c r="D40" s="11" t="inlineStr">
        <is>
          <t>Update and Submit SSP Minimum Requirements</t>
        </is>
      </c>
      <c r="E40" s="11" t="inlineStr">
        <is>
          <t>Work</t>
        </is>
      </c>
      <c r="F40" s="11" t="n">
        <v>12</v>
      </c>
      <c r="G40" s="11" t="inlineStr">
        <is>
          <t>33FS+57d</t>
        </is>
      </c>
      <c r="H40" s="11" t="inlineStr">
        <is>
          <t>57 days after Initial Draft finish</t>
        </is>
      </c>
      <c r="I40" s="11" t="inlineStr">
        <is>
          <t>98, 35</t>
        </is>
      </c>
      <c r="J40" s="13" t="inlineStr"/>
      <c r="K40" s="14">
        <f>IFERROR(MAX(L39+57),"")</f>
        <v/>
      </c>
      <c r="L40" s="14">
        <f>IF(K40="","",K40+F40)</f>
        <v/>
      </c>
      <c r="M40" s="11" t="inlineStr">
        <is>
          <t>Minimum-required SSP path</t>
        </is>
      </c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</row>
    <row r="41">
      <c r="A41" s="11" t="n">
        <v>35</v>
      </c>
      <c r="B41" s="18" t="inlineStr">
        <is>
          <t>CSD - SSP</t>
        </is>
      </c>
      <c r="C41" s="11" t="inlineStr">
        <is>
          <t>Admin Utility</t>
        </is>
      </c>
      <c r="D41" s="11" t="inlineStr">
        <is>
          <t>Approve Admin Utility Minimum required SSP</t>
        </is>
      </c>
      <c r="E41" s="11" t="inlineStr">
        <is>
          <t>Work</t>
        </is>
      </c>
      <c r="F41" s="11" t="n">
        <v>1</v>
      </c>
      <c r="G41" s="11" t="inlineStr">
        <is>
          <t>34</t>
        </is>
      </c>
      <c r="H41" s="11" t="inlineStr">
        <is>
          <t>After Minimum Requirements submitted</t>
        </is>
      </c>
      <c r="I41" s="11" t="inlineStr">
        <is>
          <t>36</t>
        </is>
      </c>
      <c r="J41" s="13" t="inlineStr"/>
      <c r="K41" s="14">
        <f>IFERROR(MAX(L40),"")</f>
        <v/>
      </c>
      <c r="L41" s="14">
        <f>IF(K41="","",K41+F41)</f>
        <v/>
      </c>
      <c r="M41" s="11" t="inlineStr">
        <is>
          <t>Lightweight approval</t>
        </is>
      </c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</row>
    <row r="42">
      <c r="A42" s="11" t="n">
        <v>36</v>
      </c>
      <c r="B42" s="18" t="inlineStr">
        <is>
          <t>CSD - SSP</t>
        </is>
      </c>
      <c r="C42" s="11" t="inlineStr">
        <is>
          <t>Admin Utility</t>
        </is>
      </c>
      <c r="D42" s="11" t="inlineStr">
        <is>
          <t>Admin Utility SSP complete</t>
        </is>
      </c>
      <c r="E42" s="11" t="inlineStr">
        <is>
          <t>Milestone</t>
        </is>
      </c>
      <c r="F42" s="11" t="n">
        <v>0</v>
      </c>
      <c r="G42" s="11" t="inlineStr">
        <is>
          <t>35</t>
        </is>
      </c>
      <c r="H42" s="11" t="inlineStr">
        <is>
          <t>After Approve</t>
        </is>
      </c>
      <c r="I42" s="11" t="n"/>
      <c r="J42" s="13" t="inlineStr"/>
      <c r="K42" s="14">
        <f>IFERROR(MAX(L41),"")</f>
        <v/>
      </c>
      <c r="L42" s="14">
        <f>K42</f>
        <v/>
      </c>
      <c r="M42" s="11" t="inlineStr">
        <is>
          <t>Milestone</t>
        </is>
      </c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</row>
    <row r="43">
      <c r="A43" s="11" t="n">
        <v>37</v>
      </c>
      <c r="B43" s="18" t="inlineStr">
        <is>
          <t>CSD - SSP</t>
        </is>
      </c>
      <c r="C43" s="11" t="inlineStr">
        <is>
          <t>All Systems</t>
        </is>
      </c>
      <c r="D43" s="11" t="inlineStr">
        <is>
          <t>Cyber Security Division Artifacts (PIA &amp; SSP) Complete</t>
        </is>
      </c>
      <c r="E43" s="11" t="inlineStr">
        <is>
          <t>Milestone</t>
        </is>
      </c>
      <c r="F43" s="11" t="n">
        <v>0</v>
      </c>
      <c r="G43" s="11" t="inlineStr">
        <is>
          <t>25, 23, 27, 31</t>
        </is>
      </c>
      <c r="H43" s="11" t="inlineStr">
        <is>
          <t>After ALL SSPs complete</t>
        </is>
      </c>
      <c r="I43" s="11" t="inlineStr">
        <is>
          <t>124</t>
        </is>
      </c>
      <c r="J43" s="13" t="inlineStr"/>
      <c r="K43" s="14">
        <f>IFERROR(MAX(L31,L29,L33,L37),"")</f>
        <v/>
      </c>
      <c r="L43" s="14">
        <f>K43</f>
        <v/>
      </c>
      <c r="M43" s="11" t="inlineStr">
        <is>
          <t>Group milestone (PIA + SSP)</t>
        </is>
      </c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</row>
    <row r="44">
      <c r="A44" s="7" t="n">
        <v>38</v>
      </c>
      <c r="B44" s="19" t="inlineStr">
        <is>
          <t>ESG - BIA</t>
        </is>
      </c>
      <c r="C44" s="7" t="inlineStr">
        <is>
          <t>Parent rollup</t>
        </is>
      </c>
      <c r="D44" s="7" t="inlineStr">
        <is>
          <t>Enterprise Storage Group Artifacts</t>
        </is>
      </c>
      <c r="E44" s="7" t="inlineStr">
        <is>
          <t>Rollup</t>
        </is>
      </c>
      <c r="F44" s="7" t="n">
        <v>225</v>
      </c>
      <c r="G44" s="7" t="inlineStr"/>
      <c r="H44" s="7" t="inlineStr">
        <is>
          <t>n/a (rollup)</t>
        </is>
      </c>
      <c r="I44" s="7" t="n"/>
      <c r="J44" s="7" t="inlineStr"/>
      <c r="K44" s="9">
        <f>IF(COUNT(K45:K56)=0,"",MIN(K45:K56))</f>
        <v/>
      </c>
      <c r="L44" s="9">
        <f>IF(COUNT(L45:L56)=0,"",MAX(L45:L56))</f>
        <v/>
      </c>
      <c r="M44" s="7" t="inlineStr">
        <is>
          <t>ESG parent rollup (BIA + ISRP)</t>
        </is>
      </c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</row>
    <row r="45">
      <c r="A45" s="7" t="n">
        <v>39</v>
      </c>
      <c r="B45" s="19" t="inlineStr">
        <is>
          <t>ESG - BIA</t>
        </is>
      </c>
      <c r="C45" s="7" t="inlineStr">
        <is>
          <t>Parent rollup</t>
        </is>
      </c>
      <c r="D45" s="7" t="inlineStr">
        <is>
          <t>Business Impact Assessments (BIA)</t>
        </is>
      </c>
      <c r="E45" s="7" t="inlineStr">
        <is>
          <t>Rollup</t>
        </is>
      </c>
      <c r="F45" s="7" t="n">
        <v>130</v>
      </c>
      <c r="G45" s="7" t="inlineStr"/>
      <c r="H45" s="7" t="inlineStr">
        <is>
          <t>n/a (rollup)</t>
        </is>
      </c>
      <c r="I45" s="7" t="n"/>
      <c r="J45" s="7" t="inlineStr"/>
      <c r="K45" s="9">
        <f>IF(COUNT(K46:K56)=0,"",MIN(K46:K56))</f>
        <v/>
      </c>
      <c r="L45" s="9">
        <f>IF(COUNT(L46:L56)=0,"",MAX(L46:L56))</f>
        <v/>
      </c>
      <c r="M45" s="7" t="inlineStr">
        <is>
          <t>BIA group rollup</t>
        </is>
      </c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</row>
    <row r="46">
      <c r="A46" s="7" t="n">
        <v>40</v>
      </c>
      <c r="B46" s="19" t="inlineStr">
        <is>
          <t>ESG - BIA</t>
        </is>
      </c>
      <c r="C46" s="7" t="inlineStr">
        <is>
          <t>Salesforce/Socure/TRef</t>
        </is>
      </c>
      <c r="D46" s="7" t="inlineStr">
        <is>
          <t>Salesforce/Socure/TRef BIA</t>
        </is>
      </c>
      <c r="E46" s="7" t="inlineStr">
        <is>
          <t>Rollup</t>
        </is>
      </c>
      <c r="F46" s="7" t="n">
        <v>109</v>
      </c>
      <c r="G46" s="7" t="inlineStr"/>
      <c r="H46" s="7" t="inlineStr">
        <is>
          <t>n/a (rollup)</t>
        </is>
      </c>
      <c r="I46" s="7" t="n"/>
      <c r="J46" s="7" t="inlineStr"/>
      <c r="K46" s="9">
        <f>IF(COUNT(K47:K49)=0,"",MIN(K47:K49))</f>
        <v/>
      </c>
      <c r="L46" s="9">
        <f>IF(COUNT(L47:L49)=0,"",MAX(L47:L49))</f>
        <v/>
      </c>
      <c r="M46" s="7" t="inlineStr">
        <is>
          <t>Sub-rollup</t>
        </is>
      </c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</row>
    <row r="47">
      <c r="A47" s="11" t="n">
        <v>41</v>
      </c>
      <c r="B47" s="20" t="inlineStr">
        <is>
          <t>ESG - BIA</t>
        </is>
      </c>
      <c r="C47" s="11" t="inlineStr">
        <is>
          <t>Salesforce/Socure/TRef</t>
        </is>
      </c>
      <c r="D47" s="11" t="inlineStr">
        <is>
          <t>Update and Submit Salesforce/Socure/TRef BIA</t>
        </is>
      </c>
      <c r="E47" s="11" t="inlineStr">
        <is>
          <t>Work</t>
        </is>
      </c>
      <c r="F47" s="11" t="n">
        <v>20</v>
      </c>
      <c r="G47" s="11" t="inlineStr">
        <is>
          <t>Ext</t>
        </is>
      </c>
      <c r="H47" s="11" t="inlineStr">
        <is>
          <t>EXTERNAL: after myEDD Requirements task</t>
        </is>
      </c>
      <c r="I47" s="11" t="inlineStr">
        <is>
          <t>42</t>
        </is>
      </c>
      <c r="J47" s="13" t="inlineStr">
        <is>
          <t>⚠ EXTERNAL — provisional from project start; wire to your project task</t>
        </is>
      </c>
      <c r="K47" s="14">
        <f>$B$1</f>
        <v/>
      </c>
      <c r="L47" s="14">
        <f>IF(K47="","",K47+F47)</f>
        <v/>
      </c>
      <c r="M47" s="11" t="inlineStr">
        <is>
          <t>Kickoff</t>
        </is>
      </c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</row>
    <row r="48">
      <c r="A48" s="11" t="n">
        <v>42</v>
      </c>
      <c r="B48" s="20" t="inlineStr">
        <is>
          <t>ESG - BIA</t>
        </is>
      </c>
      <c r="C48" s="11" t="inlineStr">
        <is>
          <t>Salesforce/Socure/TRef</t>
        </is>
      </c>
      <c r="D48" s="11" t="inlineStr">
        <is>
          <t>Review and Approve BIA</t>
        </is>
      </c>
      <c r="E48" s="11" t="inlineStr">
        <is>
          <t>Work</t>
        </is>
      </c>
      <c r="F48" s="11" t="n">
        <v>89</v>
      </c>
      <c r="G48" s="11" t="inlineStr">
        <is>
          <t>41</t>
        </is>
      </c>
      <c r="H48" s="11" t="inlineStr">
        <is>
          <t>After Update and Submit</t>
        </is>
      </c>
      <c r="I48" s="11" t="inlineStr">
        <is>
          <t>53FS-8d, 43</t>
        </is>
      </c>
      <c r="J48" s="13" t="inlineStr"/>
      <c r="K48" s="14">
        <f>IFERROR(MAX(L47),"")</f>
        <v/>
      </c>
      <c r="L48" s="14">
        <f>IF(K48="","",K48+F48)</f>
        <v/>
      </c>
      <c r="M48" s="11" t="inlineStr">
        <is>
          <t>ESG review</t>
        </is>
      </c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</row>
    <row r="49">
      <c r="A49" s="11" t="n">
        <v>43</v>
      </c>
      <c r="B49" s="20" t="inlineStr">
        <is>
          <t>ESG - BIA</t>
        </is>
      </c>
      <c r="C49" s="11" t="inlineStr">
        <is>
          <t>Salesforce/Socure/TRef</t>
        </is>
      </c>
      <c r="D49" s="11" t="inlineStr">
        <is>
          <t>Salesforce/Socure/TRef BIA complete</t>
        </is>
      </c>
      <c r="E49" s="11" t="inlineStr">
        <is>
          <t>Milestone</t>
        </is>
      </c>
      <c r="F49" s="11" t="n">
        <v>0</v>
      </c>
      <c r="G49" s="11" t="inlineStr">
        <is>
          <t>42</t>
        </is>
      </c>
      <c r="H49" s="11" t="inlineStr">
        <is>
          <t>After Review and Approve</t>
        </is>
      </c>
      <c r="I49" s="11" t="inlineStr">
        <is>
          <t>50</t>
        </is>
      </c>
      <c r="J49" s="13" t="inlineStr"/>
      <c r="K49" s="14">
        <f>IFERROR(MAX(L48),"")</f>
        <v/>
      </c>
      <c r="L49" s="14">
        <f>K49</f>
        <v/>
      </c>
      <c r="M49" s="11" t="inlineStr">
        <is>
          <t>Unblocks ISRP draft</t>
        </is>
      </c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</row>
    <row r="50">
      <c r="A50" s="7" t="n">
        <v>44</v>
      </c>
      <c r="B50" s="19" t="inlineStr">
        <is>
          <t>ESG - BIA</t>
        </is>
      </c>
      <c r="C50" s="7" t="inlineStr">
        <is>
          <t>Admin Utility</t>
        </is>
      </c>
      <c r="D50" s="7" t="inlineStr">
        <is>
          <t>Admin Utility BIA</t>
        </is>
      </c>
      <c r="E50" s="7" t="inlineStr">
        <is>
          <t>Rollup</t>
        </is>
      </c>
      <c r="F50" s="7" t="n">
        <v>48</v>
      </c>
      <c r="G50" s="7" t="inlineStr"/>
      <c r="H50" s="7" t="inlineStr">
        <is>
          <t>n/a (rollup)</t>
        </is>
      </c>
      <c r="I50" s="7" t="n"/>
      <c r="J50" s="7" t="inlineStr"/>
      <c r="K50" s="9">
        <f>IF(COUNT(K51:K56)=0,"",MIN(K51:K56))</f>
        <v/>
      </c>
      <c r="L50" s="9">
        <f>IF(COUNT(L51:L56)=0,"",MAX(L51:L56))</f>
        <v/>
      </c>
      <c r="M50" s="7" t="inlineStr">
        <is>
          <t>Sub-rollup</t>
        </is>
      </c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</row>
    <row r="51">
      <c r="A51" s="11" t="n">
        <v>45</v>
      </c>
      <c r="B51" s="20" t="inlineStr">
        <is>
          <t>ESG - BIA</t>
        </is>
      </c>
      <c r="C51" s="11" t="inlineStr">
        <is>
          <t>Admin Utility</t>
        </is>
      </c>
      <c r="D51" s="11" t="inlineStr">
        <is>
          <t>Update and Submit BIA</t>
        </is>
      </c>
      <c r="E51" s="11" t="inlineStr">
        <is>
          <t>Work</t>
        </is>
      </c>
      <c r="F51" s="11" t="n">
        <v>21</v>
      </c>
      <c r="G51" s="11" t="inlineStr">
        <is>
          <t>ExtSS</t>
        </is>
      </c>
      <c r="H51" s="11" t="inlineStr">
        <is>
          <t>EXTERNAL: starts with linked dependency</t>
        </is>
      </c>
      <c r="I51" s="11" t="inlineStr">
        <is>
          <t>46</t>
        </is>
      </c>
      <c r="J51" s="13" t="inlineStr">
        <is>
          <t>⚠ EXTERNAL — provisional from project start; wire to your project task</t>
        </is>
      </c>
      <c r="K51" s="14">
        <f>$B$1</f>
        <v/>
      </c>
      <c r="L51" s="14">
        <f>IF(K51="","",K51+F51)</f>
        <v/>
      </c>
      <c r="M51" s="11" t="inlineStr">
        <is>
          <t>Kickoff</t>
        </is>
      </c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</row>
    <row r="52">
      <c r="A52" s="11" t="n">
        <v>46</v>
      </c>
      <c r="B52" s="20" t="inlineStr">
        <is>
          <t>ESG - BIA</t>
        </is>
      </c>
      <c r="C52" s="11" t="inlineStr">
        <is>
          <t>Admin Utility</t>
        </is>
      </c>
      <c r="D52" s="11" t="inlineStr">
        <is>
          <t>Review BIA</t>
        </is>
      </c>
      <c r="E52" s="11" t="inlineStr">
        <is>
          <t>Work</t>
        </is>
      </c>
      <c r="F52" s="11" t="n">
        <v>22</v>
      </c>
      <c r="G52" s="11" t="inlineStr">
        <is>
          <t>45</t>
        </is>
      </c>
      <c r="H52" s="11" t="inlineStr">
        <is>
          <t>After Update and Submit</t>
        </is>
      </c>
      <c r="I52" s="11" t="inlineStr">
        <is>
          <t>47</t>
        </is>
      </c>
      <c r="J52" s="13" t="inlineStr"/>
      <c r="K52" s="14">
        <f>IFERROR(MAX(L51),"")</f>
        <v/>
      </c>
      <c r="L52" s="14">
        <f>IF(K52="","",K52+F52)</f>
        <v/>
      </c>
      <c r="M52" s="11" t="inlineStr">
        <is>
          <t>ESG review</t>
        </is>
      </c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</row>
    <row r="53">
      <c r="A53" s="11" t="n">
        <v>47</v>
      </c>
      <c r="B53" s="20" t="inlineStr">
        <is>
          <t>ESG - BIA</t>
        </is>
      </c>
      <c r="C53" s="11" t="inlineStr">
        <is>
          <t>Admin Utility</t>
        </is>
      </c>
      <c r="D53" s="11" t="inlineStr">
        <is>
          <t>Update BIA</t>
        </is>
      </c>
      <c r="E53" s="11" t="inlineStr">
        <is>
          <t>Work</t>
        </is>
      </c>
      <c r="F53" s="11" t="n">
        <v>2</v>
      </c>
      <c r="G53" s="11" t="inlineStr">
        <is>
          <t>46</t>
        </is>
      </c>
      <c r="H53" s="11" t="inlineStr">
        <is>
          <t>After Review</t>
        </is>
      </c>
      <c r="I53" s="11" t="inlineStr">
        <is>
          <t>48</t>
        </is>
      </c>
      <c r="J53" s="13" t="inlineStr"/>
      <c r="K53" s="14">
        <f>IFERROR(MAX(L52),"")</f>
        <v/>
      </c>
      <c r="L53" s="14">
        <f>IF(K53="","",K53+F53)</f>
        <v/>
      </c>
      <c r="M53" s="11" t="inlineStr">
        <is>
          <t>Owner edits</t>
        </is>
      </c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</row>
    <row r="54">
      <c r="A54" s="11" t="n">
        <v>48</v>
      </c>
      <c r="B54" s="20" t="inlineStr">
        <is>
          <t>ESG - BIA</t>
        </is>
      </c>
      <c r="C54" s="11" t="inlineStr">
        <is>
          <t>Admin Utility</t>
        </is>
      </c>
      <c r="D54" s="11" t="inlineStr">
        <is>
          <t>Approve BIA</t>
        </is>
      </c>
      <c r="E54" s="11" t="inlineStr">
        <is>
          <t>Work</t>
        </is>
      </c>
      <c r="F54" s="11" t="n">
        <v>3</v>
      </c>
      <c r="G54" s="11" t="inlineStr">
        <is>
          <t>47</t>
        </is>
      </c>
      <c r="H54" s="11" t="inlineStr">
        <is>
          <t>After Update</t>
        </is>
      </c>
      <c r="I54" s="11" t="inlineStr">
        <is>
          <t>49</t>
        </is>
      </c>
      <c r="J54" s="13" t="inlineStr"/>
      <c r="K54" s="14">
        <f>IFERROR(MAX(L53),"")</f>
        <v/>
      </c>
      <c r="L54" s="14">
        <f>IF(K54="","",K54+F54)</f>
        <v/>
      </c>
      <c r="M54" s="11" t="inlineStr">
        <is>
          <t>Final approval</t>
        </is>
      </c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</row>
    <row r="55">
      <c r="A55" s="11" t="n">
        <v>49</v>
      </c>
      <c r="B55" s="20" t="inlineStr">
        <is>
          <t>ESG - BIA</t>
        </is>
      </c>
      <c r="C55" s="11" t="inlineStr">
        <is>
          <t>Admin Utility</t>
        </is>
      </c>
      <c r="D55" s="11" t="inlineStr">
        <is>
          <t>Admin Utility BIA complete</t>
        </is>
      </c>
      <c r="E55" s="11" t="inlineStr">
        <is>
          <t>Milestone</t>
        </is>
      </c>
      <c r="F55" s="11" t="n">
        <v>0</v>
      </c>
      <c r="G55" s="11" t="inlineStr">
        <is>
          <t>48</t>
        </is>
      </c>
      <c r="H55" s="11" t="inlineStr">
        <is>
          <t>After Approve</t>
        </is>
      </c>
      <c r="I55" s="11" t="inlineStr">
        <is>
          <t>50</t>
        </is>
      </c>
      <c r="J55" s="13" t="inlineStr"/>
      <c r="K55" s="14">
        <f>IFERROR(MAX(L54),"")</f>
        <v/>
      </c>
      <c r="L55" s="14">
        <f>K55</f>
        <v/>
      </c>
      <c r="M55" s="11" t="inlineStr">
        <is>
          <t>Milestone</t>
        </is>
      </c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</row>
    <row r="56">
      <c r="A56" s="11" t="n">
        <v>50</v>
      </c>
      <c r="B56" s="20" t="inlineStr">
        <is>
          <t>ESG - BIA</t>
        </is>
      </c>
      <c r="C56" s="11" t="inlineStr">
        <is>
          <t>All Systems</t>
        </is>
      </c>
      <c r="D56" s="11" t="inlineStr">
        <is>
          <t>BIA's completed</t>
        </is>
      </c>
      <c r="E56" s="11" t="inlineStr">
        <is>
          <t>Milestone</t>
        </is>
      </c>
      <c r="F56" s="11" t="n">
        <v>0</v>
      </c>
      <c r="G56" s="11" t="inlineStr">
        <is>
          <t>43, 49</t>
        </is>
      </c>
      <c r="H56" s="11" t="inlineStr">
        <is>
          <t>After all BIAs complete</t>
        </is>
      </c>
      <c r="I56" s="11" t="n"/>
      <c r="J56" s="13" t="inlineStr"/>
      <c r="K56" s="14">
        <f>IFERROR(MAX(L49,L55),"")</f>
        <v/>
      </c>
      <c r="L56" s="14">
        <f>K56</f>
        <v/>
      </c>
      <c r="M56" s="11" t="inlineStr">
        <is>
          <t>Group milestone</t>
        </is>
      </c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</row>
    <row r="57">
      <c r="A57" s="7" t="n">
        <v>51</v>
      </c>
      <c r="B57" s="21" t="inlineStr">
        <is>
          <t>ESG - ISRP</t>
        </is>
      </c>
      <c r="C57" s="7" t="inlineStr">
        <is>
          <t>Parent rollup</t>
        </is>
      </c>
      <c r="D57" s="7" t="inlineStr">
        <is>
          <t>Information System Recovery Plan (ISRP)</t>
        </is>
      </c>
      <c r="E57" s="7" t="inlineStr">
        <is>
          <t>Rollup</t>
        </is>
      </c>
      <c r="F57" s="7" t="n">
        <v>146</v>
      </c>
      <c r="G57" s="7" t="inlineStr"/>
      <c r="H57" s="7" t="inlineStr">
        <is>
          <t>n/a (rollup)</t>
        </is>
      </c>
      <c r="I57" s="7" t="n"/>
      <c r="J57" s="7" t="inlineStr"/>
      <c r="K57" s="9">
        <f>IF(COUNT(K58:K76)=0,"",MIN(K58:K76))</f>
        <v/>
      </c>
      <c r="L57" s="9">
        <f>IF(COUNT(L58:L76)=0,"",MAX(L58:L76))</f>
        <v/>
      </c>
      <c r="M57" s="7" t="inlineStr">
        <is>
          <t>ISRP group rollup</t>
        </is>
      </c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</row>
    <row r="58">
      <c r="A58" s="7" t="n">
        <v>52</v>
      </c>
      <c r="B58" s="21" t="inlineStr">
        <is>
          <t>ESG - ISRP</t>
        </is>
      </c>
      <c r="C58" s="7" t="inlineStr">
        <is>
          <t>Salesforce/Socure/TRef</t>
        </is>
      </c>
      <c r="D58" s="7" t="inlineStr">
        <is>
          <t>Salesforce/Socure/TRef ISRP</t>
        </is>
      </c>
      <c r="E58" s="7" t="inlineStr">
        <is>
          <t>Rollup</t>
        </is>
      </c>
      <c r="F58" s="7" t="n">
        <v>146</v>
      </c>
      <c r="G58" s="7" t="inlineStr"/>
      <c r="H58" s="7" t="inlineStr">
        <is>
          <t>n/a (rollup)</t>
        </is>
      </c>
      <c r="I58" s="7" t="n"/>
      <c r="J58" s="7" t="inlineStr"/>
      <c r="K58" s="9">
        <f>IF(COUNT(K59:K65)=0,"",MIN(K59:K65))</f>
        <v/>
      </c>
      <c r="L58" s="9">
        <f>IF(COUNT(L59:L65)=0,"",MAX(L59:L65))</f>
        <v/>
      </c>
      <c r="M58" s="7" t="inlineStr">
        <is>
          <t>Sub-rollup</t>
        </is>
      </c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</row>
    <row r="59">
      <c r="A59" s="11" t="n">
        <v>53</v>
      </c>
      <c r="B59" s="22" t="inlineStr">
        <is>
          <t>ESG - ISRP</t>
        </is>
      </c>
      <c r="C59" s="11" t="inlineStr">
        <is>
          <t>Salesforce/Socure/TRef</t>
        </is>
      </c>
      <c r="D59" s="11" t="inlineStr">
        <is>
          <t>Update and Submit DRAFT ISRP</t>
        </is>
      </c>
      <c r="E59" s="11" t="inlineStr">
        <is>
          <t>Work</t>
        </is>
      </c>
      <c r="F59" s="11" t="n">
        <v>2</v>
      </c>
      <c r="G59" s="11" t="inlineStr">
        <is>
          <t>42FS-8d</t>
        </is>
      </c>
      <c r="H59" s="11" t="inlineStr">
        <is>
          <t>Starts 8 days before BIA Review finish</t>
        </is>
      </c>
      <c r="I59" s="11" t="inlineStr">
        <is>
          <t>54FS+6d</t>
        </is>
      </c>
      <c r="J59" s="13" t="inlineStr"/>
      <c r="K59" s="14">
        <f>IFERROR(MAX(L48-8),"")</f>
        <v/>
      </c>
      <c r="L59" s="14">
        <f>IF(K59="","",K59+F59)</f>
        <v/>
      </c>
      <c r="M59" s="11" t="inlineStr">
        <is>
          <t>Draft kickoff</t>
        </is>
      </c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</row>
    <row r="60">
      <c r="A60" s="11" t="n">
        <v>54</v>
      </c>
      <c r="B60" s="22" t="inlineStr">
        <is>
          <t>ESG - ISRP</t>
        </is>
      </c>
      <c r="C60" s="11" t="inlineStr">
        <is>
          <t>Salesforce/Socure/TRef</t>
        </is>
      </c>
      <c r="D60" s="11" t="inlineStr">
        <is>
          <t>Review Draft ISRP</t>
        </is>
      </c>
      <c r="E60" s="11" t="inlineStr">
        <is>
          <t>Work</t>
        </is>
      </c>
      <c r="F60" s="11" t="n">
        <v>32</v>
      </c>
      <c r="G60" s="11" t="inlineStr">
        <is>
          <t>53FS+6d</t>
        </is>
      </c>
      <c r="H60" s="11" t="inlineStr">
        <is>
          <t>6 days after Draft submitted</t>
        </is>
      </c>
      <c r="I60" s="11" t="inlineStr">
        <is>
          <t>55</t>
        </is>
      </c>
      <c r="J60" s="13" t="inlineStr"/>
      <c r="K60" s="14">
        <f>IFERROR(MAX(L59+6),"")</f>
        <v/>
      </c>
      <c r="L60" s="14">
        <f>IF(K60="","",K60+F60)</f>
        <v/>
      </c>
      <c r="M60" s="11" t="inlineStr">
        <is>
          <t>ESG review</t>
        </is>
      </c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</row>
    <row r="61">
      <c r="A61" s="11" t="n">
        <v>55</v>
      </c>
      <c r="B61" s="22" t="inlineStr">
        <is>
          <t>ESG - ISRP</t>
        </is>
      </c>
      <c r="C61" s="11" t="inlineStr">
        <is>
          <t>Salesforce/Socure/TRef</t>
        </is>
      </c>
      <c r="D61" s="11" t="inlineStr">
        <is>
          <t>Update and Submit FINAL ISRP</t>
        </is>
      </c>
      <c r="E61" s="11" t="inlineStr">
        <is>
          <t>Work</t>
        </is>
      </c>
      <c r="F61" s="11" t="n">
        <v>9</v>
      </c>
      <c r="G61" s="11" t="inlineStr">
        <is>
          <t>54</t>
        </is>
      </c>
      <c r="H61" s="11" t="inlineStr">
        <is>
          <t>After Review Draft</t>
        </is>
      </c>
      <c r="I61" s="11" t="inlineStr">
        <is>
          <t>59</t>
        </is>
      </c>
      <c r="J61" s="13" t="inlineStr"/>
      <c r="K61" s="14">
        <f>IFERROR(MAX(L60),"")</f>
        <v/>
      </c>
      <c r="L61" s="14">
        <f>IF(K61="","",K61+F61)</f>
        <v/>
      </c>
      <c r="M61" s="11" t="inlineStr">
        <is>
          <t>Final submission</t>
        </is>
      </c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</row>
    <row r="62">
      <c r="A62" s="11" t="n">
        <v>56</v>
      </c>
      <c r="B62" s="22" t="inlineStr">
        <is>
          <t>ESG - ISRP</t>
        </is>
      </c>
      <c r="C62" s="11" t="inlineStr">
        <is>
          <t>Salesforce/Socure/TRef</t>
        </is>
      </c>
      <c r="D62" s="11" t="inlineStr">
        <is>
          <t>Re-Review ISRP due to Scope Change</t>
        </is>
      </c>
      <c r="E62" s="11" t="inlineStr">
        <is>
          <t>Work</t>
        </is>
      </c>
      <c r="F62" s="11" t="n">
        <v>27</v>
      </c>
      <c r="G62" s="11" t="inlineStr">
        <is>
          <t>Ext</t>
        </is>
      </c>
      <c r="H62" s="11" t="inlineStr">
        <is>
          <t>EXTERNAL: scope change trigger</t>
        </is>
      </c>
      <c r="I62" s="11" t="inlineStr">
        <is>
          <t>57</t>
        </is>
      </c>
      <c r="J62" s="13" t="inlineStr">
        <is>
          <t>⚠ EXTERNAL — provisional from project start; wire to your project task</t>
        </is>
      </c>
      <c r="K62" s="14">
        <f>$B$1</f>
        <v/>
      </c>
      <c r="L62" s="14">
        <f>IF(K62="","",K62+F62)</f>
        <v/>
      </c>
      <c r="M62" s="11" t="inlineStr">
        <is>
          <t>Only fires on scope change. Optional in template.</t>
        </is>
      </c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</row>
    <row r="63">
      <c r="A63" s="11" t="n">
        <v>57</v>
      </c>
      <c r="B63" s="22" t="inlineStr">
        <is>
          <t>ESG - ISRP</t>
        </is>
      </c>
      <c r="C63" s="11" t="inlineStr">
        <is>
          <t>Salesforce/Socure/TRef</t>
        </is>
      </c>
      <c r="D63" s="11" t="inlineStr">
        <is>
          <t>Update ISRP due to ESG comments</t>
        </is>
      </c>
      <c r="E63" s="11" t="inlineStr">
        <is>
          <t>Work</t>
        </is>
      </c>
      <c r="F63" s="11" t="n">
        <v>20</v>
      </c>
      <c r="G63" s="11" t="inlineStr">
        <is>
          <t>56</t>
        </is>
      </c>
      <c r="H63" s="11" t="inlineStr">
        <is>
          <t>After Re-Review</t>
        </is>
      </c>
      <c r="I63" s="11" t="inlineStr">
        <is>
          <t>58</t>
        </is>
      </c>
      <c r="J63" s="13" t="inlineStr"/>
      <c r="K63" s="14">
        <f>IFERROR(MAX(L62),"")</f>
        <v/>
      </c>
      <c r="L63" s="14">
        <f>IF(K63="","",K63+F63)</f>
        <v/>
      </c>
      <c r="M63" s="11" t="inlineStr">
        <is>
          <t>Remediation</t>
        </is>
      </c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</row>
    <row r="64">
      <c r="A64" s="11" t="n">
        <v>58</v>
      </c>
      <c r="B64" s="22" t="inlineStr">
        <is>
          <t>ESG - ISRP</t>
        </is>
      </c>
      <c r="C64" s="11" t="inlineStr">
        <is>
          <t>Salesforce/Socure/TRef</t>
        </is>
      </c>
      <c r="D64" s="11" t="inlineStr">
        <is>
          <t>Review and Approve FINAL ISRP</t>
        </is>
      </c>
      <c r="E64" s="11" t="inlineStr">
        <is>
          <t>Work</t>
        </is>
      </c>
      <c r="F64" s="11" t="n">
        <v>48</v>
      </c>
      <c r="G64" s="11" t="inlineStr">
        <is>
          <t>57</t>
        </is>
      </c>
      <c r="H64" s="11" t="inlineStr">
        <is>
          <t>After Update due to comments</t>
        </is>
      </c>
      <c r="I64" s="11" t="inlineStr">
        <is>
          <t>59</t>
        </is>
      </c>
      <c r="J64" s="13" t="inlineStr"/>
      <c r="K64" s="14">
        <f>IFERROR(MAX(L63),"")</f>
        <v/>
      </c>
      <c r="L64" s="14">
        <f>IF(K64="","",K64+F64)</f>
        <v/>
      </c>
      <c r="M64" s="11" t="inlineStr">
        <is>
          <t>Final approval</t>
        </is>
      </c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</row>
    <row r="65">
      <c r="A65" s="11" t="n">
        <v>59</v>
      </c>
      <c r="B65" s="22" t="inlineStr">
        <is>
          <t>ESG - ISRP</t>
        </is>
      </c>
      <c r="C65" s="11" t="inlineStr">
        <is>
          <t>Salesforce/Socure/TRef</t>
        </is>
      </c>
      <c r="D65" s="11" t="inlineStr">
        <is>
          <t>Salesforce/Socure/TRef ISRP complete</t>
        </is>
      </c>
      <c r="E65" s="11" t="inlineStr">
        <is>
          <t>Milestone</t>
        </is>
      </c>
      <c r="F65" s="11" t="n">
        <v>0</v>
      </c>
      <c r="G65" s="11" t="inlineStr">
        <is>
          <t>58, 55</t>
        </is>
      </c>
      <c r="H65" s="11" t="inlineStr">
        <is>
          <t>After approval</t>
        </is>
      </c>
      <c r="I65" s="11" t="inlineStr">
        <is>
          <t>110, 70</t>
        </is>
      </c>
      <c r="J65" s="13" t="inlineStr"/>
      <c r="K65" s="14">
        <f>IFERROR(MAX(L64,L61),"")</f>
        <v/>
      </c>
      <c r="L65" s="14">
        <f>K65</f>
        <v/>
      </c>
      <c r="M65" s="11" t="inlineStr">
        <is>
          <t>Unblocks Table Top</t>
        </is>
      </c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</row>
    <row r="66">
      <c r="A66" s="7" t="n">
        <v>60</v>
      </c>
      <c r="B66" s="21" t="inlineStr">
        <is>
          <t>ESG - ISRP</t>
        </is>
      </c>
      <c r="C66" s="7" t="inlineStr">
        <is>
          <t>Admin Utility</t>
        </is>
      </c>
      <c r="D66" s="7" t="inlineStr">
        <is>
          <t>Admin Utility ISRP</t>
        </is>
      </c>
      <c r="E66" s="7" t="inlineStr">
        <is>
          <t>Rollup</t>
        </is>
      </c>
      <c r="F66" s="7" t="n">
        <v>143</v>
      </c>
      <c r="G66" s="7" t="inlineStr"/>
      <c r="H66" s="7" t="inlineStr">
        <is>
          <t>n/a (rollup)</t>
        </is>
      </c>
      <c r="I66" s="7" t="n"/>
      <c r="J66" s="7" t="inlineStr"/>
      <c r="K66" s="9">
        <f>IF(COUNT(K67:K71)=0,"",MIN(K67:K71))</f>
        <v/>
      </c>
      <c r="L66" s="9">
        <f>IF(COUNT(L67:L71)=0,"",MAX(L67:L71))</f>
        <v/>
      </c>
      <c r="M66" s="7" t="inlineStr">
        <is>
          <t>Sub-rollup</t>
        </is>
      </c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</row>
    <row r="67">
      <c r="A67" s="11" t="n">
        <v>61</v>
      </c>
      <c r="B67" s="22" t="inlineStr">
        <is>
          <t>ESG - ISRP</t>
        </is>
      </c>
      <c r="C67" s="11" t="inlineStr">
        <is>
          <t>Admin Utility</t>
        </is>
      </c>
      <c r="D67" s="11" t="inlineStr">
        <is>
          <t>Update and Submit Admin Utility ISRP</t>
        </is>
      </c>
      <c r="E67" s="11" t="inlineStr">
        <is>
          <t>Work</t>
        </is>
      </c>
      <c r="F67" s="11" t="n">
        <v>43</v>
      </c>
      <c r="G67" s="11" t="inlineStr">
        <is>
          <t>Ext</t>
        </is>
      </c>
      <c r="H67" s="11" t="inlineStr">
        <is>
          <t>EXTERNAL: after linked design task</t>
        </is>
      </c>
      <c r="I67" s="11" t="inlineStr">
        <is>
          <t>62</t>
        </is>
      </c>
      <c r="J67" s="13" t="inlineStr">
        <is>
          <t>⚠ EXTERNAL — provisional from project start; wire to your project task</t>
        </is>
      </c>
      <c r="K67" s="14">
        <f>$B$1</f>
        <v/>
      </c>
      <c r="L67" s="14">
        <f>IF(K67="","",K67+F67)</f>
        <v/>
      </c>
      <c r="M67" s="11" t="inlineStr">
        <is>
          <t>Kickoff</t>
        </is>
      </c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</row>
    <row r="68">
      <c r="A68" s="11" t="n">
        <v>62</v>
      </c>
      <c r="B68" s="22" t="inlineStr">
        <is>
          <t>ESG - ISRP</t>
        </is>
      </c>
      <c r="C68" s="11" t="inlineStr">
        <is>
          <t>Admin Utility</t>
        </is>
      </c>
      <c r="D68" s="11" t="inlineStr">
        <is>
          <t>Update Admin Utility ISRP per ESG feedback</t>
        </is>
      </c>
      <c r="E68" s="11" t="inlineStr">
        <is>
          <t>Work</t>
        </is>
      </c>
      <c r="F68" s="11" t="n">
        <v>42</v>
      </c>
      <c r="G68" s="11" t="inlineStr">
        <is>
          <t>61</t>
        </is>
      </c>
      <c r="H68" s="11" t="inlineStr">
        <is>
          <t>After Update and Submit</t>
        </is>
      </c>
      <c r="I68" s="11" t="inlineStr">
        <is>
          <t>64FS+3d</t>
        </is>
      </c>
      <c r="J68" s="13" t="inlineStr"/>
      <c r="K68" s="14">
        <f>IFERROR(MAX(L67),"")</f>
        <v/>
      </c>
      <c r="L68" s="14">
        <f>IF(K68="","",K68+F68)</f>
        <v/>
      </c>
      <c r="M68" s="11" t="inlineStr">
        <is>
          <t>Remediation</t>
        </is>
      </c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</row>
    <row r="69">
      <c r="A69" s="11" t="n">
        <v>63</v>
      </c>
      <c r="B69" s="22" t="inlineStr">
        <is>
          <t>ESG - ISRP</t>
        </is>
      </c>
      <c r="C69" s="11" t="inlineStr">
        <is>
          <t>Admin Utility</t>
        </is>
      </c>
      <c r="D69" s="11" t="inlineStr">
        <is>
          <t>Submit After Action Plan</t>
        </is>
      </c>
      <c r="E69" s="11" t="inlineStr">
        <is>
          <t>Work</t>
        </is>
      </c>
      <c r="F69" s="11" t="n">
        <v>7</v>
      </c>
      <c r="G69" s="11" t="inlineStr">
        <is>
          <t>112</t>
        </is>
      </c>
      <c r="H69" s="11" t="inlineStr">
        <is>
          <t>After UIO Table Top Walkthrough</t>
        </is>
      </c>
      <c r="I69" s="11" t="inlineStr">
        <is>
          <t>65</t>
        </is>
      </c>
      <c r="J69" s="13" t="inlineStr"/>
      <c r="K69" s="14">
        <f>IFERROR(MAX(L118),"")</f>
        <v/>
      </c>
      <c r="L69" s="14">
        <f>IF(K69="","",K69+F69)</f>
        <v/>
      </c>
      <c r="M69" s="11" t="inlineStr">
        <is>
          <t>Post-walkthrough</t>
        </is>
      </c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</row>
    <row r="70">
      <c r="A70" s="11" t="n">
        <v>64</v>
      </c>
      <c r="B70" s="22" t="inlineStr">
        <is>
          <t>ESG - ISRP</t>
        </is>
      </c>
      <c r="C70" s="11" t="inlineStr">
        <is>
          <t>Admin Utility</t>
        </is>
      </c>
      <c r="D70" s="11" t="inlineStr">
        <is>
          <t>Review and Approve Admin Utility ISRP</t>
        </is>
      </c>
      <c r="E70" s="11" t="inlineStr">
        <is>
          <t>Work</t>
        </is>
      </c>
      <c r="F70" s="11" t="n">
        <v>61</v>
      </c>
      <c r="G70" s="11" t="inlineStr">
        <is>
          <t>62FS+3d</t>
        </is>
      </c>
      <c r="H70" s="11" t="inlineStr">
        <is>
          <t>3 days after Update finish</t>
        </is>
      </c>
      <c r="I70" s="11" t="inlineStr">
        <is>
          <t>65</t>
        </is>
      </c>
      <c r="J70" s="13" t="inlineStr"/>
      <c r="K70" s="14">
        <f>IFERROR(MAX(L68+3),"")</f>
        <v/>
      </c>
      <c r="L70" s="14">
        <f>IF(K70="","",K70+F70)</f>
        <v/>
      </c>
      <c r="M70" s="11" t="inlineStr">
        <is>
          <t>ESG review</t>
        </is>
      </c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</row>
    <row r="71">
      <c r="A71" s="11" t="n">
        <v>65</v>
      </c>
      <c r="B71" s="22" t="inlineStr">
        <is>
          <t>ESG - ISRP</t>
        </is>
      </c>
      <c r="C71" s="11" t="inlineStr">
        <is>
          <t>Admin Utility</t>
        </is>
      </c>
      <c r="D71" s="11" t="inlineStr">
        <is>
          <t>Admin Utility ISRP Complete</t>
        </is>
      </c>
      <c r="E71" s="11" t="inlineStr">
        <is>
          <t>Milestone</t>
        </is>
      </c>
      <c r="F71" s="11" t="n">
        <v>0</v>
      </c>
      <c r="G71" s="11" t="inlineStr">
        <is>
          <t>64, 63</t>
        </is>
      </c>
      <c r="H71" s="11" t="inlineStr">
        <is>
          <t>After Approve and After Action Plan</t>
        </is>
      </c>
      <c r="I71" s="11" t="inlineStr">
        <is>
          <t>70, 111FS-5d</t>
        </is>
      </c>
      <c r="J71" s="13" t="inlineStr"/>
      <c r="K71" s="14">
        <f>IFERROR(MAX(L70,L69),"")</f>
        <v/>
      </c>
      <c r="L71" s="14">
        <f>K71</f>
        <v/>
      </c>
      <c r="M71" s="11" t="inlineStr">
        <is>
          <t>Milestone</t>
        </is>
      </c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</row>
    <row r="72">
      <c r="A72" s="7" t="n">
        <v>66</v>
      </c>
      <c r="B72" s="21" t="inlineStr">
        <is>
          <t>ESG - ISRP</t>
        </is>
      </c>
      <c r="C72" s="7" t="inlineStr">
        <is>
          <t>UIO</t>
        </is>
      </c>
      <c r="D72" s="7" t="inlineStr">
        <is>
          <t>UIO ISRP</t>
        </is>
      </c>
      <c r="E72" s="7" t="inlineStr">
        <is>
          <t>Rollup</t>
        </is>
      </c>
      <c r="F72" s="7" t="n">
        <v>72</v>
      </c>
      <c r="G72" s="7" t="inlineStr"/>
      <c r="H72" s="7" t="inlineStr">
        <is>
          <t>n/a (rollup)</t>
        </is>
      </c>
      <c r="I72" s="7" t="n"/>
      <c r="J72" s="7" t="inlineStr"/>
      <c r="K72" s="9">
        <f>IF(COUNT(K73:K76)=0,"",MIN(K73:K76))</f>
        <v/>
      </c>
      <c r="L72" s="9">
        <f>IF(COUNT(L73:L76)=0,"",MAX(L73:L76))</f>
        <v/>
      </c>
      <c r="M72" s="7" t="inlineStr">
        <is>
          <t>Sub-rollup</t>
        </is>
      </c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</row>
    <row r="73">
      <c r="A73" s="11" t="n">
        <v>67</v>
      </c>
      <c r="B73" s="22" t="inlineStr">
        <is>
          <t>ESG - ISRP</t>
        </is>
      </c>
      <c r="C73" s="11" t="inlineStr">
        <is>
          <t>UIO</t>
        </is>
      </c>
      <c r="D73" s="11" t="inlineStr">
        <is>
          <t>Update and Submit UIO ISRP</t>
        </is>
      </c>
      <c r="E73" s="11" t="inlineStr">
        <is>
          <t>Work</t>
        </is>
      </c>
      <c r="F73" s="11" t="n">
        <v>22</v>
      </c>
      <c r="G73" s="11" t="inlineStr">
        <is>
          <t>Ext</t>
        </is>
      </c>
      <c r="H73" s="11" t="inlineStr">
        <is>
          <t>EXTERNAL: after linked design task</t>
        </is>
      </c>
      <c r="I73" s="11" t="inlineStr">
        <is>
          <t>68, 112FS-1d</t>
        </is>
      </c>
      <c r="J73" s="13" t="inlineStr">
        <is>
          <t>⚠ EXTERNAL — provisional from project start; wire to your project task</t>
        </is>
      </c>
      <c r="K73" s="14">
        <f>$B$1</f>
        <v/>
      </c>
      <c r="L73" s="14">
        <f>IF(K73="","",K73+F73)</f>
        <v/>
      </c>
      <c r="M73" s="11" t="inlineStr">
        <is>
          <t>Kickoff</t>
        </is>
      </c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</row>
    <row r="74">
      <c r="A74" s="11" t="n">
        <v>68</v>
      </c>
      <c r="B74" s="22" t="inlineStr">
        <is>
          <t>ESG - ISRP</t>
        </is>
      </c>
      <c r="C74" s="11" t="inlineStr">
        <is>
          <t>UIO</t>
        </is>
      </c>
      <c r="D74" s="11" t="inlineStr">
        <is>
          <t>Review and Approve UIO ISRP</t>
        </is>
      </c>
      <c r="E74" s="11" t="inlineStr">
        <is>
          <t>Work</t>
        </is>
      </c>
      <c r="F74" s="11" t="n">
        <v>50</v>
      </c>
      <c r="G74" s="11" t="inlineStr">
        <is>
          <t>67</t>
        </is>
      </c>
      <c r="H74" s="11" t="inlineStr">
        <is>
          <t>After Update and Submit</t>
        </is>
      </c>
      <c r="I74" s="11" t="inlineStr">
        <is>
          <t>69</t>
        </is>
      </c>
      <c r="J74" s="13" t="inlineStr"/>
      <c r="K74" s="14">
        <f>IFERROR(MAX(L73),"")</f>
        <v/>
      </c>
      <c r="L74" s="14">
        <f>IF(K74="","",K74+F74)</f>
        <v/>
      </c>
      <c r="M74" s="11" t="inlineStr">
        <is>
          <t>ESG review</t>
        </is>
      </c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</row>
    <row r="75">
      <c r="A75" s="11" t="n">
        <v>69</v>
      </c>
      <c r="B75" s="22" t="inlineStr">
        <is>
          <t>ESG - ISRP</t>
        </is>
      </c>
      <c r="C75" s="11" t="inlineStr">
        <is>
          <t>UIO</t>
        </is>
      </c>
      <c r="D75" s="11" t="inlineStr">
        <is>
          <t>UIO ISRP Complete</t>
        </is>
      </c>
      <c r="E75" s="11" t="inlineStr">
        <is>
          <t>Milestone</t>
        </is>
      </c>
      <c r="F75" s="11" t="n">
        <v>0</v>
      </c>
      <c r="G75" s="11" t="inlineStr">
        <is>
          <t>68</t>
        </is>
      </c>
      <c r="H75" s="11" t="inlineStr">
        <is>
          <t>After Review and Approve</t>
        </is>
      </c>
      <c r="I75" s="11" t="inlineStr">
        <is>
          <t>70</t>
        </is>
      </c>
      <c r="J75" s="13" t="inlineStr"/>
      <c r="K75" s="14">
        <f>IFERROR(MAX(L74),"")</f>
        <v/>
      </c>
      <c r="L75" s="14">
        <f>K75</f>
        <v/>
      </c>
      <c r="M75" s="11" t="inlineStr">
        <is>
          <t>Milestone</t>
        </is>
      </c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</row>
    <row r="76">
      <c r="A76" s="11" t="n">
        <v>70</v>
      </c>
      <c r="B76" s="22" t="inlineStr">
        <is>
          <t>ESG - ISRP</t>
        </is>
      </c>
      <c r="C76" s="11" t="inlineStr">
        <is>
          <t>All Systems</t>
        </is>
      </c>
      <c r="D76" s="11" t="inlineStr">
        <is>
          <t>ISRP's Complete</t>
        </is>
      </c>
      <c r="E76" s="11" t="inlineStr">
        <is>
          <t>Milestone</t>
        </is>
      </c>
      <c r="F76" s="11" t="n">
        <v>0</v>
      </c>
      <c r="G76" s="11" t="inlineStr">
        <is>
          <t>65, 59, 69</t>
        </is>
      </c>
      <c r="H76" s="11" t="inlineStr">
        <is>
          <t>After all ISRPs complete</t>
        </is>
      </c>
      <c r="I76" s="11" t="inlineStr">
        <is>
          <t>124</t>
        </is>
      </c>
      <c r="J76" s="13" t="inlineStr"/>
      <c r="K76" s="14">
        <f>IFERROR(MAX(L71,L65,L75),"")</f>
        <v/>
      </c>
      <c r="L76" s="14">
        <f>K76</f>
        <v/>
      </c>
      <c r="M76" s="11" t="inlineStr">
        <is>
          <t>Group milestone</t>
        </is>
      </c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</row>
    <row r="77">
      <c r="A77" s="7" t="n">
        <v>71</v>
      </c>
      <c r="B77" s="23" t="inlineStr">
        <is>
          <t>ITB - Technical Design</t>
        </is>
      </c>
      <c r="C77" s="7" t="inlineStr">
        <is>
          <t>Parent rollup</t>
        </is>
      </c>
      <c r="D77" s="7" t="inlineStr">
        <is>
          <t>ITB Artifacts</t>
        </is>
      </c>
      <c r="E77" s="7" t="inlineStr">
        <is>
          <t>Rollup</t>
        </is>
      </c>
      <c r="F77" s="7" t="n">
        <v>188</v>
      </c>
      <c r="G77" s="7" t="inlineStr"/>
      <c r="H77" s="7" t="inlineStr">
        <is>
          <t>n/a (rollup)</t>
        </is>
      </c>
      <c r="I77" s="7" t="n"/>
      <c r="J77" s="7" t="inlineStr"/>
      <c r="K77" s="9">
        <f>IF(COUNT(K78:K84)=0,"",MIN(K78:K84))</f>
        <v/>
      </c>
      <c r="L77" s="9">
        <f>IF(COUNT(L78:L84)=0,"",MAX(L78:L84))</f>
        <v/>
      </c>
      <c r="M77" s="7" t="inlineStr">
        <is>
          <t>ITB parent rollup</t>
        </is>
      </c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</row>
    <row r="78">
      <c r="A78" s="7" t="n">
        <v>72</v>
      </c>
      <c r="B78" s="23" t="inlineStr">
        <is>
          <t>ITB - Technical Design</t>
        </is>
      </c>
      <c r="C78" s="7" t="inlineStr">
        <is>
          <t>Parent rollup</t>
        </is>
      </c>
      <c r="D78" s="7" t="inlineStr">
        <is>
          <t>Technical Design</t>
        </is>
      </c>
      <c r="E78" s="7" t="inlineStr">
        <is>
          <t>Rollup</t>
        </is>
      </c>
      <c r="F78" s="7" t="n">
        <v>159</v>
      </c>
      <c r="G78" s="7" t="inlineStr"/>
      <c r="H78" s="7" t="inlineStr">
        <is>
          <t>n/a (rollup)</t>
        </is>
      </c>
      <c r="I78" s="7" t="n"/>
      <c r="J78" s="7" t="inlineStr"/>
      <c r="K78" s="9">
        <f>IF(COUNT(K79:K84)=0,"",MIN(K79:K84))</f>
        <v/>
      </c>
      <c r="L78" s="9">
        <f>IF(COUNT(L79:L84)=0,"",MAX(L79:L84))</f>
        <v/>
      </c>
      <c r="M78" s="7" t="inlineStr">
        <is>
          <t>TD group rollup</t>
        </is>
      </c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</row>
    <row r="79">
      <c r="A79" s="11" t="n">
        <v>73</v>
      </c>
      <c r="B79" s="24" t="inlineStr">
        <is>
          <t>ITB - Technical Design</t>
        </is>
      </c>
      <c r="C79" s="11" t="inlineStr">
        <is>
          <t>All Systems</t>
        </is>
      </c>
      <c r="D79" s="11" t="inlineStr">
        <is>
          <t>Develop and Submit Technical Design Document (Nav Screens)</t>
        </is>
      </c>
      <c r="E79" s="11" t="inlineStr">
        <is>
          <t>Work</t>
        </is>
      </c>
      <c r="F79" s="11" t="n">
        <v>10</v>
      </c>
      <c r="G79" s="11" t="inlineStr">
        <is>
          <t>Ext</t>
        </is>
      </c>
      <c r="H79" s="11" t="inlineStr">
        <is>
          <t>EXTERNAL: after Requirement Gathering Complete</t>
        </is>
      </c>
      <c r="I79" s="11" t="inlineStr">
        <is>
          <t>74</t>
        </is>
      </c>
      <c r="J79" s="13" t="inlineStr">
        <is>
          <t>⚠ EXTERNAL — provisional from project start; wire to your project task</t>
        </is>
      </c>
      <c r="K79" s="14">
        <f>$B$1</f>
        <v/>
      </c>
      <c r="L79" s="14">
        <f>IF(K79="","",K79+F79)</f>
        <v/>
      </c>
      <c r="M79" s="11" t="inlineStr">
        <is>
          <t>Kickoff</t>
        </is>
      </c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</row>
    <row r="80">
      <c r="A80" s="11" t="n">
        <v>74</v>
      </c>
      <c r="B80" s="24" t="inlineStr">
        <is>
          <t>ITB - Technical Design</t>
        </is>
      </c>
      <c r="C80" s="11" t="inlineStr">
        <is>
          <t>All Systems</t>
        </is>
      </c>
      <c r="D80" s="11" t="inlineStr">
        <is>
          <t>Review Technical Design</t>
        </is>
      </c>
      <c r="E80" s="11" t="inlineStr">
        <is>
          <t>Work</t>
        </is>
      </c>
      <c r="F80" s="11" t="n">
        <v>41</v>
      </c>
      <c r="G80" s="11" t="inlineStr">
        <is>
          <t>73</t>
        </is>
      </c>
      <c r="H80" s="11" t="inlineStr">
        <is>
          <t>After Develop and Submit</t>
        </is>
      </c>
      <c r="I80" s="11" t="inlineStr">
        <is>
          <t>76FS-5d, 75</t>
        </is>
      </c>
      <c r="J80" s="13" t="inlineStr"/>
      <c r="K80" s="14">
        <f>IFERROR(MAX(L79),"")</f>
        <v/>
      </c>
      <c r="L80" s="14">
        <f>IF(K80="","",K80+F80)</f>
        <v/>
      </c>
      <c r="M80" s="11" t="inlineStr">
        <is>
          <t>ITB review</t>
        </is>
      </c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</row>
    <row r="81">
      <c r="A81" s="11" t="n">
        <v>75</v>
      </c>
      <c r="B81" s="24" t="inlineStr">
        <is>
          <t>ITB - Technical Design</t>
        </is>
      </c>
      <c r="C81" s="11" t="inlineStr">
        <is>
          <t>Socure</t>
        </is>
      </c>
      <c r="D81" s="11" t="inlineStr">
        <is>
          <t>Socure Navigational Screens added to Technical Design</t>
        </is>
      </c>
      <c r="E81" s="11" t="inlineStr">
        <is>
          <t>Work</t>
        </is>
      </c>
      <c r="F81" s="11" t="n">
        <v>13</v>
      </c>
      <c r="G81" s="11" t="inlineStr">
        <is>
          <t>74</t>
        </is>
      </c>
      <c r="H81" s="11" t="inlineStr">
        <is>
          <t>After Review</t>
        </is>
      </c>
      <c r="I81" s="11" t="inlineStr">
        <is>
          <t>77</t>
        </is>
      </c>
      <c r="J81" s="13" t="inlineStr"/>
      <c r="K81" s="14">
        <f>IFERROR(MAX(L80),"")</f>
        <v/>
      </c>
      <c r="L81" s="14">
        <f>IF(K81="","",K81+F81)</f>
        <v/>
      </c>
      <c r="M81" s="11" t="inlineStr">
        <is>
          <t>Socure-specific addition</t>
        </is>
      </c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</row>
    <row r="82">
      <c r="A82" s="11" t="n">
        <v>76</v>
      </c>
      <c r="B82" s="24" t="inlineStr">
        <is>
          <t>ITB - Technical Design</t>
        </is>
      </c>
      <c r="C82" s="11" t="inlineStr">
        <is>
          <t>TRef</t>
        </is>
      </c>
      <c r="D82" s="11" t="inlineStr">
        <is>
          <t>TRef Navigational Screens added to Technical Design</t>
        </is>
      </c>
      <c r="E82" s="11" t="inlineStr">
        <is>
          <t>Work</t>
        </is>
      </c>
      <c r="F82" s="11" t="n">
        <v>26</v>
      </c>
      <c r="G82" s="11" t="inlineStr">
        <is>
          <t>74FS-5d</t>
        </is>
      </c>
      <c r="H82" s="11" t="inlineStr">
        <is>
          <t>5 days before Review finish</t>
        </is>
      </c>
      <c r="I82" s="11" t="inlineStr">
        <is>
          <t>77FS+62d</t>
        </is>
      </c>
      <c r="J82" s="13" t="inlineStr"/>
      <c r="K82" s="14">
        <f>IFERROR(MAX(L80-5),"")</f>
        <v/>
      </c>
      <c r="L82" s="14">
        <f>IF(K82="","",K82+F82)</f>
        <v/>
      </c>
      <c r="M82" s="11" t="inlineStr">
        <is>
          <t>TRef-specific addition</t>
        </is>
      </c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</row>
    <row r="83">
      <c r="A83" s="11" t="n">
        <v>77</v>
      </c>
      <c r="B83" s="24" t="inlineStr">
        <is>
          <t>ITB - Technical Design</t>
        </is>
      </c>
      <c r="C83" s="11" t="inlineStr">
        <is>
          <t>All Systems</t>
        </is>
      </c>
      <c r="D83" s="11" t="inlineStr">
        <is>
          <t>Approve myEDD Navigation Flow</t>
        </is>
      </c>
      <c r="E83" s="11" t="inlineStr">
        <is>
          <t>Work</t>
        </is>
      </c>
      <c r="F83" s="11" t="n">
        <v>25</v>
      </c>
      <c r="G83" s="11" t="inlineStr">
        <is>
          <t>75, 76FS+62d</t>
        </is>
      </c>
      <c r="H83" s="11" t="inlineStr">
        <is>
          <t>After both nav additions</t>
        </is>
      </c>
      <c r="I83" s="11" t="inlineStr">
        <is>
          <t>78</t>
        </is>
      </c>
      <c r="J83" s="13" t="inlineStr"/>
      <c r="K83" s="14">
        <f>IFERROR(MAX(L81,L82+62),"")</f>
        <v/>
      </c>
      <c r="L83" s="14">
        <f>IF(K83="","",K83+F83)</f>
        <v/>
      </c>
      <c r="M83" s="11" t="inlineStr">
        <is>
          <t>Final approval</t>
        </is>
      </c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</row>
    <row r="84">
      <c r="A84" s="11" t="n">
        <v>78</v>
      </c>
      <c r="B84" s="24" t="inlineStr">
        <is>
          <t>ITB - Technical Design</t>
        </is>
      </c>
      <c r="C84" s="11" t="inlineStr">
        <is>
          <t>All Systems</t>
        </is>
      </c>
      <c r="D84" s="11" t="inlineStr">
        <is>
          <t>Technical Design Complete</t>
        </is>
      </c>
      <c r="E84" s="11" t="inlineStr">
        <is>
          <t>Milestone</t>
        </is>
      </c>
      <c r="F84" s="11" t="n">
        <v>0</v>
      </c>
      <c r="G84" s="11" t="inlineStr">
        <is>
          <t>77</t>
        </is>
      </c>
      <c r="H84" s="11" t="inlineStr">
        <is>
          <t>After Approve</t>
        </is>
      </c>
      <c r="I84" s="11" t="inlineStr">
        <is>
          <t>124, 81FS-4d, 89FS-3d</t>
        </is>
      </c>
      <c r="J84" s="13" t="inlineStr"/>
      <c r="K84" s="14">
        <f>IFERROR(MAX(L83),"")</f>
        <v/>
      </c>
      <c r="L84" s="14">
        <f>K84</f>
        <v/>
      </c>
      <c r="M84" s="11" t="inlineStr">
        <is>
          <t>Unblocks SAD work</t>
        </is>
      </c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</row>
    <row r="85">
      <c r="A85" s="7" t="n">
        <v>79</v>
      </c>
      <c r="B85" s="25" t="inlineStr">
        <is>
          <t>ITB - SAD</t>
        </is>
      </c>
      <c r="C85" s="7" t="inlineStr">
        <is>
          <t>Parent rollup</t>
        </is>
      </c>
      <c r="D85" s="7" t="inlineStr">
        <is>
          <t>System Architectural Design (SAD)</t>
        </is>
      </c>
      <c r="E85" s="7" t="inlineStr">
        <is>
          <t>Rollup</t>
        </is>
      </c>
      <c r="F85" s="7" t="n">
        <v>124</v>
      </c>
      <c r="G85" s="7" t="inlineStr"/>
      <c r="H85" s="7" t="inlineStr">
        <is>
          <t>n/a (rollup)</t>
        </is>
      </c>
      <c r="I85" s="7" t="n"/>
      <c r="J85" s="7" t="inlineStr"/>
      <c r="K85" s="9">
        <f>IF(COUNT(K86:K102)=0,"",MIN(K86:K102))</f>
        <v/>
      </c>
      <c r="L85" s="9">
        <f>IF(COUNT(L86:L102)=0,"",MAX(L86:L102))</f>
        <v/>
      </c>
      <c r="M85" s="7" t="inlineStr">
        <is>
          <t>SAD group rollup</t>
        </is>
      </c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</row>
    <row r="86">
      <c r="A86" s="7" t="n">
        <v>80</v>
      </c>
      <c r="B86" s="25" t="inlineStr">
        <is>
          <t>ITB - SAD</t>
        </is>
      </c>
      <c r="C86" s="7" t="inlineStr">
        <is>
          <t>OSaaS</t>
        </is>
      </c>
      <c r="D86" s="7" t="inlineStr">
        <is>
          <t>OSaaS SAD/ICD(OCP)/ICD(SCP ID+)</t>
        </is>
      </c>
      <c r="E86" s="7" t="inlineStr">
        <is>
          <t>Rollup</t>
        </is>
      </c>
      <c r="F86" s="7" t="n">
        <v>53</v>
      </c>
      <c r="G86" s="7" t="inlineStr"/>
      <c r="H86" s="7" t="inlineStr">
        <is>
          <t>n/a (rollup)</t>
        </is>
      </c>
      <c r="I86" s="7" t="n"/>
      <c r="J86" s="7" t="inlineStr"/>
      <c r="K86" s="9">
        <f>IF(COUNT(K87:K89)=0,"",MIN(K87:K89))</f>
        <v/>
      </c>
      <c r="L86" s="9">
        <f>IF(COUNT(L87:L89)=0,"",MAX(L87:L89))</f>
        <v/>
      </c>
      <c r="M86" s="7" t="inlineStr">
        <is>
          <t>Sub-rollup</t>
        </is>
      </c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</row>
    <row r="87">
      <c r="A87" s="11" t="n">
        <v>81</v>
      </c>
      <c r="B87" s="26" t="inlineStr">
        <is>
          <t>ITB - SAD</t>
        </is>
      </c>
      <c r="C87" s="11" t="inlineStr">
        <is>
          <t>OSaaS</t>
        </is>
      </c>
      <c r="D87" s="11" t="inlineStr">
        <is>
          <t>Update and Submit SAD</t>
        </is>
      </c>
      <c r="E87" s="11" t="inlineStr">
        <is>
          <t>Work</t>
        </is>
      </c>
      <c r="F87" s="11" t="n">
        <v>4</v>
      </c>
      <c r="G87" s="11" t="inlineStr">
        <is>
          <t>Ext, Ext, Ext, 78FS-4d</t>
        </is>
      </c>
      <c r="H87" s="11" t="inlineStr">
        <is>
          <t>EXTERNAL design tasks + 4d before TD Complete</t>
        </is>
      </c>
      <c r="I87" s="11" t="inlineStr">
        <is>
          <t>82</t>
        </is>
      </c>
      <c r="J87" s="13" t="inlineStr">
        <is>
          <t>⚠ Mixed — internal-dated; external leg may push start later</t>
        </is>
      </c>
      <c r="K87" s="14">
        <f>IFERROR(MAX(L84-4),"")</f>
        <v/>
      </c>
      <c r="L87" s="14">
        <f>IF(K87="","",K87+F87)</f>
        <v/>
      </c>
      <c r="M87" s="11" t="inlineStr">
        <is>
          <t>Kickoff</t>
        </is>
      </c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</row>
    <row r="88">
      <c r="A88" s="11" t="n">
        <v>82</v>
      </c>
      <c r="B88" s="26" t="inlineStr">
        <is>
          <t>ITB - SAD</t>
        </is>
      </c>
      <c r="C88" s="11" t="inlineStr">
        <is>
          <t>OSaaS</t>
        </is>
      </c>
      <c r="D88" s="11" t="inlineStr">
        <is>
          <t>Review and Approve SAD</t>
        </is>
      </c>
      <c r="E88" s="11" t="inlineStr">
        <is>
          <t>Work</t>
        </is>
      </c>
      <c r="F88" s="11" t="n">
        <v>49</v>
      </c>
      <c r="G88" s="11" t="inlineStr">
        <is>
          <t>81</t>
        </is>
      </c>
      <c r="H88" s="11" t="inlineStr">
        <is>
          <t>After Update and Submit</t>
        </is>
      </c>
      <c r="I88" s="11" t="inlineStr">
        <is>
          <t>83</t>
        </is>
      </c>
      <c r="J88" s="13" t="inlineStr"/>
      <c r="K88" s="14">
        <f>IFERROR(MAX(L87),"")</f>
        <v/>
      </c>
      <c r="L88" s="14">
        <f>IF(K88="","",K88+F88)</f>
        <v/>
      </c>
      <c r="M88" s="11" t="inlineStr">
        <is>
          <t>ITB review</t>
        </is>
      </c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</row>
    <row r="89">
      <c r="A89" s="11" t="n">
        <v>83</v>
      </c>
      <c r="B89" s="26" t="inlineStr">
        <is>
          <t>ITB - SAD</t>
        </is>
      </c>
      <c r="C89" s="11" t="inlineStr">
        <is>
          <t>OSaaS</t>
        </is>
      </c>
      <c r="D89" s="11" t="inlineStr">
        <is>
          <t>OSaaS SAD/ICD(OCP)/ICD(SCP ID+) complete</t>
        </is>
      </c>
      <c r="E89" s="11" t="inlineStr">
        <is>
          <t>Milestone</t>
        </is>
      </c>
      <c r="F89" s="11" t="n">
        <v>0</v>
      </c>
      <c r="G89" s="11" t="inlineStr">
        <is>
          <t>82</t>
        </is>
      </c>
      <c r="H89" s="11" t="inlineStr">
        <is>
          <t>After Review and Approve</t>
        </is>
      </c>
      <c r="I89" s="11" t="inlineStr">
        <is>
          <t>96</t>
        </is>
      </c>
      <c r="J89" s="13" t="inlineStr"/>
      <c r="K89" s="14">
        <f>IFERROR(MAX(L88),"")</f>
        <v/>
      </c>
      <c r="L89" s="14">
        <f>K89</f>
        <v/>
      </c>
      <c r="M89" s="11" t="inlineStr">
        <is>
          <t>Milestone</t>
        </is>
      </c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</row>
    <row r="90">
      <c r="A90" s="7" t="n">
        <v>84</v>
      </c>
      <c r="B90" s="25" t="inlineStr">
        <is>
          <t>ITB - SAD</t>
        </is>
      </c>
      <c r="C90" s="7" t="inlineStr">
        <is>
          <t>UIO</t>
        </is>
      </c>
      <c r="D90" s="7" t="inlineStr">
        <is>
          <t>UIO SAD</t>
        </is>
      </c>
      <c r="E90" s="7" t="inlineStr">
        <is>
          <t>Rollup</t>
        </is>
      </c>
      <c r="F90" s="7" t="n">
        <v>63</v>
      </c>
      <c r="G90" s="7" t="inlineStr"/>
      <c r="H90" s="7" t="inlineStr">
        <is>
          <t>n/a (rollup)</t>
        </is>
      </c>
      <c r="I90" s="7" t="n"/>
      <c r="J90" s="7" t="inlineStr"/>
      <c r="K90" s="9">
        <f>IF(COUNT(K91:K93)=0,"",MIN(K91:K93))</f>
        <v/>
      </c>
      <c r="L90" s="9">
        <f>IF(COUNT(L91:L93)=0,"",MAX(L91:L93))</f>
        <v/>
      </c>
      <c r="M90" s="7" t="inlineStr">
        <is>
          <t>Sub-rollup</t>
        </is>
      </c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</row>
    <row r="91">
      <c r="A91" s="11" t="n">
        <v>85</v>
      </c>
      <c r="B91" s="26" t="inlineStr">
        <is>
          <t>ITB - SAD</t>
        </is>
      </c>
      <c r="C91" s="11" t="inlineStr">
        <is>
          <t>UIO</t>
        </is>
      </c>
      <c r="D91" s="11" t="inlineStr">
        <is>
          <t>Update and Submit UIO SAD</t>
        </is>
      </c>
      <c r="E91" s="11" t="inlineStr">
        <is>
          <t>Work</t>
        </is>
      </c>
      <c r="F91" s="11" t="n">
        <v>24</v>
      </c>
      <c r="G91" s="11" t="inlineStr">
        <is>
          <t>Ext, ExtFS+5d</t>
        </is>
      </c>
      <c r="H91" s="11" t="inlineStr">
        <is>
          <t>EXTERNAL: after related design tasks</t>
        </is>
      </c>
      <c r="I91" s="11" t="inlineStr">
        <is>
          <t>86</t>
        </is>
      </c>
      <c r="J91" s="13" t="inlineStr">
        <is>
          <t>⚠ EXTERNAL — provisional from project start; wire to your project task</t>
        </is>
      </c>
      <c r="K91" s="14">
        <f>$B$1</f>
        <v/>
      </c>
      <c r="L91" s="14">
        <f>IF(K91="","",K91+F91)</f>
        <v/>
      </c>
      <c r="M91" s="11" t="inlineStr">
        <is>
          <t>Kickoff</t>
        </is>
      </c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</row>
    <row r="92">
      <c r="A92" s="11" t="n">
        <v>86</v>
      </c>
      <c r="B92" s="26" t="inlineStr">
        <is>
          <t>ITB - SAD</t>
        </is>
      </c>
      <c r="C92" s="11" t="inlineStr">
        <is>
          <t>UIO</t>
        </is>
      </c>
      <c r="D92" s="11" t="inlineStr">
        <is>
          <t>Review and Approve UIO SAD</t>
        </is>
      </c>
      <c r="E92" s="11" t="inlineStr">
        <is>
          <t>Work</t>
        </is>
      </c>
      <c r="F92" s="11" t="n">
        <v>39</v>
      </c>
      <c r="G92" s="11" t="inlineStr">
        <is>
          <t>85</t>
        </is>
      </c>
      <c r="H92" s="11" t="inlineStr">
        <is>
          <t>After Update and Submit</t>
        </is>
      </c>
      <c r="I92" s="11" t="inlineStr">
        <is>
          <t>87</t>
        </is>
      </c>
      <c r="J92" s="13" t="inlineStr"/>
      <c r="K92" s="14">
        <f>IFERROR(MAX(L91),"")</f>
        <v/>
      </c>
      <c r="L92" s="14">
        <f>IF(K92="","",K92+F92)</f>
        <v/>
      </c>
      <c r="M92" s="11" t="inlineStr">
        <is>
          <t>ITB review</t>
        </is>
      </c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</row>
    <row r="93">
      <c r="A93" s="11" t="n">
        <v>87</v>
      </c>
      <c r="B93" s="26" t="inlineStr">
        <is>
          <t>ITB - SAD</t>
        </is>
      </c>
      <c r="C93" s="11" t="inlineStr">
        <is>
          <t>UIO</t>
        </is>
      </c>
      <c r="D93" s="11" t="inlineStr">
        <is>
          <t>UIO SAD complete</t>
        </is>
      </c>
      <c r="E93" s="11" t="inlineStr">
        <is>
          <t>Milestone</t>
        </is>
      </c>
      <c r="F93" s="11" t="n">
        <v>0</v>
      </c>
      <c r="G93" s="11" t="inlineStr">
        <is>
          <t>86</t>
        </is>
      </c>
      <c r="H93" s="11" t="inlineStr">
        <is>
          <t>After Review and Approve</t>
        </is>
      </c>
      <c r="I93" s="11" t="inlineStr">
        <is>
          <t>96</t>
        </is>
      </c>
      <c r="J93" s="13" t="inlineStr"/>
      <c r="K93" s="14">
        <f>IFERROR(MAX(L92),"")</f>
        <v/>
      </c>
      <c r="L93" s="14">
        <f>K93</f>
        <v/>
      </c>
      <c r="M93" s="11" t="inlineStr">
        <is>
          <t>Milestone</t>
        </is>
      </c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</row>
    <row r="94">
      <c r="A94" s="7" t="n">
        <v>88</v>
      </c>
      <c r="B94" s="25" t="inlineStr">
        <is>
          <t>ITB - SAD</t>
        </is>
      </c>
      <c r="C94" s="7" t="inlineStr">
        <is>
          <t>ICAM</t>
        </is>
      </c>
      <c r="D94" s="7" t="inlineStr">
        <is>
          <t>ICAM SAD</t>
        </is>
      </c>
      <c r="E94" s="7" t="inlineStr">
        <is>
          <t>Rollup</t>
        </is>
      </c>
      <c r="F94" s="7" t="n">
        <v>32</v>
      </c>
      <c r="G94" s="7" t="inlineStr"/>
      <c r="H94" s="7" t="inlineStr">
        <is>
          <t>n/a (rollup)</t>
        </is>
      </c>
      <c r="I94" s="7" t="n"/>
      <c r="J94" s="7" t="inlineStr"/>
      <c r="K94" s="9">
        <f>IF(COUNT(K95:K97)=0,"",MIN(K95:K97))</f>
        <v/>
      </c>
      <c r="L94" s="9">
        <f>IF(COUNT(L95:L97)=0,"",MAX(L95:L97))</f>
        <v/>
      </c>
      <c r="M94" s="7" t="inlineStr">
        <is>
          <t>Sub-rollup</t>
        </is>
      </c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</row>
    <row r="95">
      <c r="A95" s="11" t="n">
        <v>89</v>
      </c>
      <c r="B95" s="26" t="inlineStr">
        <is>
          <t>ITB - SAD</t>
        </is>
      </c>
      <c r="C95" s="11" t="inlineStr">
        <is>
          <t>ICAM</t>
        </is>
      </c>
      <c r="D95" s="11" t="inlineStr">
        <is>
          <t>Update and Submit ICAM SAD</t>
        </is>
      </c>
      <c r="E95" s="11" t="inlineStr">
        <is>
          <t>Work</t>
        </is>
      </c>
      <c r="F95" s="11" t="n">
        <v>22</v>
      </c>
      <c r="G95" s="11" t="inlineStr">
        <is>
          <t>78FS-3d</t>
        </is>
      </c>
      <c r="H95" s="11" t="inlineStr">
        <is>
          <t>3 days before TD Complete</t>
        </is>
      </c>
      <c r="I95" s="11" t="inlineStr">
        <is>
          <t>90</t>
        </is>
      </c>
      <c r="J95" s="13" t="inlineStr"/>
      <c r="K95" s="14">
        <f>IFERROR(MAX(L84-3),"")</f>
        <v/>
      </c>
      <c r="L95" s="14">
        <f>IF(K95="","",K95+F95)</f>
        <v/>
      </c>
      <c r="M95" s="11" t="inlineStr">
        <is>
          <t>Kickoff</t>
        </is>
      </c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</row>
    <row r="96">
      <c r="A96" s="11" t="n">
        <v>90</v>
      </c>
      <c r="B96" s="26" t="inlineStr">
        <is>
          <t>ITB - SAD</t>
        </is>
      </c>
      <c r="C96" s="11" t="inlineStr">
        <is>
          <t>ICAM</t>
        </is>
      </c>
      <c r="D96" s="11" t="inlineStr">
        <is>
          <t>Review and Approve ICAM SAD</t>
        </is>
      </c>
      <c r="E96" s="11" t="inlineStr">
        <is>
          <t>Work</t>
        </is>
      </c>
      <c r="F96" s="11" t="n">
        <v>10</v>
      </c>
      <c r="G96" s="11" t="inlineStr">
        <is>
          <t>89</t>
        </is>
      </c>
      <c r="H96" s="11" t="inlineStr">
        <is>
          <t>After Update and Submit</t>
        </is>
      </c>
      <c r="I96" s="11" t="inlineStr">
        <is>
          <t>91</t>
        </is>
      </c>
      <c r="J96" s="13" t="inlineStr"/>
      <c r="K96" s="14">
        <f>IFERROR(MAX(L95),"")</f>
        <v/>
      </c>
      <c r="L96" s="14">
        <f>IF(K96="","",K96+F96)</f>
        <v/>
      </c>
      <c r="M96" s="11" t="inlineStr">
        <is>
          <t>ITB review</t>
        </is>
      </c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</row>
    <row r="97">
      <c r="A97" s="11" t="n">
        <v>91</v>
      </c>
      <c r="B97" s="26" t="inlineStr">
        <is>
          <t>ITB - SAD</t>
        </is>
      </c>
      <c r="C97" s="11" t="inlineStr">
        <is>
          <t>ICAM</t>
        </is>
      </c>
      <c r="D97" s="11" t="inlineStr">
        <is>
          <t>ICAM SAD complete</t>
        </is>
      </c>
      <c r="E97" s="11" t="inlineStr">
        <is>
          <t>Milestone</t>
        </is>
      </c>
      <c r="F97" s="11" t="n">
        <v>0</v>
      </c>
      <c r="G97" s="11" t="inlineStr">
        <is>
          <t>90</t>
        </is>
      </c>
      <c r="H97" s="11" t="inlineStr">
        <is>
          <t>After Review and Approve</t>
        </is>
      </c>
      <c r="I97" s="11" t="inlineStr">
        <is>
          <t>96</t>
        </is>
      </c>
      <c r="J97" s="13" t="inlineStr"/>
      <c r="K97" s="14">
        <f>IFERROR(MAX(L96),"")</f>
        <v/>
      </c>
      <c r="L97" s="14">
        <f>K97</f>
        <v/>
      </c>
      <c r="M97" s="11" t="inlineStr">
        <is>
          <t>Milestone</t>
        </is>
      </c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</row>
    <row r="98">
      <c r="A98" s="7" t="n">
        <v>92</v>
      </c>
      <c r="B98" s="25" t="inlineStr">
        <is>
          <t>ITB - SAD</t>
        </is>
      </c>
      <c r="C98" s="7" t="inlineStr">
        <is>
          <t>Admin Utility</t>
        </is>
      </c>
      <c r="D98" s="7" t="inlineStr">
        <is>
          <t>Admin Utility SAD</t>
        </is>
      </c>
      <c r="E98" s="7" t="inlineStr">
        <is>
          <t>Rollup</t>
        </is>
      </c>
      <c r="F98" s="7" t="n">
        <v>20</v>
      </c>
      <c r="G98" s="7" t="inlineStr"/>
      <c r="H98" s="7" t="inlineStr">
        <is>
          <t>n/a (rollup)</t>
        </is>
      </c>
      <c r="I98" s="7" t="n"/>
      <c r="J98" s="7" t="inlineStr"/>
      <c r="K98" s="9">
        <f>IF(COUNT(K99:K102)=0,"",MIN(K99:K102))</f>
        <v/>
      </c>
      <c r="L98" s="9">
        <f>IF(COUNT(L99:L102)=0,"",MAX(L99:L102))</f>
        <v/>
      </c>
      <c r="M98" s="7" t="inlineStr">
        <is>
          <t>Sub-rollup</t>
        </is>
      </c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</row>
    <row r="99">
      <c r="A99" s="11" t="n">
        <v>93</v>
      </c>
      <c r="B99" s="26" t="inlineStr">
        <is>
          <t>ITB - SAD</t>
        </is>
      </c>
      <c r="C99" s="11" t="inlineStr">
        <is>
          <t>Admin Utility</t>
        </is>
      </c>
      <c r="D99" s="11" t="inlineStr">
        <is>
          <t>Update and Submit Admin Utility SAD</t>
        </is>
      </c>
      <c r="E99" s="11" t="inlineStr">
        <is>
          <t>Work</t>
        </is>
      </c>
      <c r="F99" s="11" t="n">
        <v>17</v>
      </c>
      <c r="G99" s="11" t="inlineStr">
        <is>
          <t>Ext, 33SS</t>
        </is>
      </c>
      <c r="H99" s="11" t="inlineStr">
        <is>
          <t>EXTERNAL design task; starts with SSP Initial Draft</t>
        </is>
      </c>
      <c r="I99" s="11" t="inlineStr">
        <is>
          <t>94</t>
        </is>
      </c>
      <c r="J99" s="13" t="inlineStr">
        <is>
          <t>⚠ Mixed — internal-dated; external leg may push start later</t>
        </is>
      </c>
      <c r="K99" s="14">
        <f>IFERROR(MAX(K39),"")</f>
        <v/>
      </c>
      <c r="L99" s="14">
        <f>IF(K99="","",K99+F99)</f>
        <v/>
      </c>
      <c r="M99" s="11" t="inlineStr">
        <is>
          <t>Kickoff</t>
        </is>
      </c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</row>
    <row r="100">
      <c r="A100" s="11" t="n">
        <v>94</v>
      </c>
      <c r="B100" s="26" t="inlineStr">
        <is>
          <t>ITB - SAD</t>
        </is>
      </c>
      <c r="C100" s="11" t="inlineStr">
        <is>
          <t>Admin Utility</t>
        </is>
      </c>
      <c r="D100" s="11" t="inlineStr">
        <is>
          <t>Review and Approve Admin Utility SAD</t>
        </is>
      </c>
      <c r="E100" s="11" t="inlineStr">
        <is>
          <t>Work</t>
        </is>
      </c>
      <c r="F100" s="11" t="n">
        <v>3</v>
      </c>
      <c r="G100" s="11" t="inlineStr">
        <is>
          <t>93</t>
        </is>
      </c>
      <c r="H100" s="11" t="inlineStr">
        <is>
          <t>After Update and Submit</t>
        </is>
      </c>
      <c r="I100" s="11" t="inlineStr">
        <is>
          <t>95</t>
        </is>
      </c>
      <c r="J100" s="13" t="inlineStr"/>
      <c r="K100" s="14">
        <f>IFERROR(MAX(L99),"")</f>
        <v/>
      </c>
      <c r="L100" s="14">
        <f>IF(K100="","",K100+F100)</f>
        <v/>
      </c>
      <c r="M100" s="11" t="inlineStr">
        <is>
          <t>ITB review</t>
        </is>
      </c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</row>
    <row r="101">
      <c r="A101" s="11" t="n">
        <v>95</v>
      </c>
      <c r="B101" s="26" t="inlineStr">
        <is>
          <t>ITB - SAD</t>
        </is>
      </c>
      <c r="C101" s="11" t="inlineStr">
        <is>
          <t>Admin Utility</t>
        </is>
      </c>
      <c r="D101" s="11" t="inlineStr">
        <is>
          <t>Admin Utility SAD complete</t>
        </is>
      </c>
      <c r="E101" s="11" t="inlineStr">
        <is>
          <t>Milestone</t>
        </is>
      </c>
      <c r="F101" s="11" t="n">
        <v>0</v>
      </c>
      <c r="G101" s="11" t="inlineStr">
        <is>
          <t>94</t>
        </is>
      </c>
      <c r="H101" s="11" t="inlineStr">
        <is>
          <t>After Review and Approve</t>
        </is>
      </c>
      <c r="I101" s="11" t="inlineStr">
        <is>
          <t>96</t>
        </is>
      </c>
      <c r="J101" s="13" t="inlineStr"/>
      <c r="K101" s="14">
        <f>IFERROR(MAX(L100),"")</f>
        <v/>
      </c>
      <c r="L101" s="14">
        <f>K101</f>
        <v/>
      </c>
      <c r="M101" s="11" t="inlineStr">
        <is>
          <t>Milestone</t>
        </is>
      </c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</row>
    <row r="102">
      <c r="A102" s="11" t="n">
        <v>96</v>
      </c>
      <c r="B102" s="26" t="inlineStr">
        <is>
          <t>ITB - SAD</t>
        </is>
      </c>
      <c r="C102" s="11" t="inlineStr">
        <is>
          <t>All Systems</t>
        </is>
      </c>
      <c r="D102" s="11" t="inlineStr">
        <is>
          <t>Security Architectural Designs (SAD) complete</t>
        </is>
      </c>
      <c r="E102" s="11" t="inlineStr">
        <is>
          <t>Milestone</t>
        </is>
      </c>
      <c r="F102" s="11" t="n">
        <v>0</v>
      </c>
      <c r="G102" s="11" t="inlineStr">
        <is>
          <t>95, 83, 87, 91</t>
        </is>
      </c>
      <c r="H102" s="11" t="inlineStr">
        <is>
          <t>After all SADs complete</t>
        </is>
      </c>
      <c r="I102" s="11" t="inlineStr">
        <is>
          <t>124</t>
        </is>
      </c>
      <c r="J102" s="13" t="inlineStr"/>
      <c r="K102" s="14">
        <f>IFERROR(MAX(L101,L89,L93,L97),"")</f>
        <v/>
      </c>
      <c r="L102" s="14">
        <f>K102</f>
        <v/>
      </c>
      <c r="M102" s="11" t="inlineStr">
        <is>
          <t>Group milestone</t>
        </is>
      </c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</row>
    <row r="103">
      <c r="A103" s="7" t="n">
        <v>97</v>
      </c>
      <c r="B103" s="27" t="inlineStr">
        <is>
          <t>C&amp;A (ATO)</t>
        </is>
      </c>
      <c r="C103" s="7" t="inlineStr">
        <is>
          <t>Parent rollup</t>
        </is>
      </c>
      <c r="D103" s="7" t="inlineStr">
        <is>
          <t>Certification and Accreditation (C&amp;A)</t>
        </is>
      </c>
      <c r="E103" s="7" t="inlineStr">
        <is>
          <t>Rollup</t>
        </is>
      </c>
      <c r="F103" s="7" t="n">
        <v>24</v>
      </c>
      <c r="G103" s="7" t="inlineStr"/>
      <c r="H103" s="7" t="inlineStr">
        <is>
          <t>n/a (rollup)</t>
        </is>
      </c>
      <c r="I103" s="7" t="n"/>
      <c r="J103" s="7" t="inlineStr"/>
      <c r="K103" s="9">
        <f>IF(COUNT(K104:K107)=0,"",MIN(K104:K107))</f>
        <v/>
      </c>
      <c r="L103" s="9">
        <f>IF(COUNT(L104:L107)=0,"",MAX(L104:L107))</f>
        <v/>
      </c>
      <c r="M103" s="7" t="inlineStr">
        <is>
          <t>C&amp;A parent rollup</t>
        </is>
      </c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</row>
    <row r="104">
      <c r="A104" s="11" t="n">
        <v>98</v>
      </c>
      <c r="B104" s="28" t="inlineStr">
        <is>
          <t>C&amp;A (ATO)</t>
        </is>
      </c>
      <c r="C104" s="11" t="inlineStr">
        <is>
          <t>All Systems</t>
        </is>
      </c>
      <c r="D104" s="11" t="inlineStr">
        <is>
          <t>Create SSP Certification and Accreditation Package</t>
        </is>
      </c>
      <c r="E104" s="11" t="inlineStr">
        <is>
          <t>Work</t>
        </is>
      </c>
      <c r="F104" s="11" t="n">
        <v>12</v>
      </c>
      <c r="G104" s="11" t="inlineStr">
        <is>
          <t>108FS-8d, 34</t>
        </is>
      </c>
      <c r="H104" s="11" t="inlineStr">
        <is>
          <t>After ASA Testing Complete -8d AND Admin Util SSP Min Reqs</t>
        </is>
      </c>
      <c r="I104" s="11" t="inlineStr">
        <is>
          <t>99</t>
        </is>
      </c>
      <c r="J104" s="13" t="inlineStr"/>
      <c r="K104" s="14">
        <f>IFERROR(MAX(L114-8,L40),"")</f>
        <v/>
      </c>
      <c r="L104" s="14">
        <f>IF(K104="","",K104+F104)</f>
        <v/>
      </c>
      <c r="M104" s="11" t="inlineStr">
        <is>
          <t>Package creation</t>
        </is>
      </c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</row>
    <row r="105">
      <c r="A105" s="11" t="n">
        <v>99</v>
      </c>
      <c r="B105" s="28" t="inlineStr">
        <is>
          <t>C&amp;A (ATO)</t>
        </is>
      </c>
      <c r="C105" s="11" t="inlineStr">
        <is>
          <t>All Systems</t>
        </is>
      </c>
      <c r="D105" s="11" t="inlineStr">
        <is>
          <t>Route C&amp;A Package for Approval</t>
        </is>
      </c>
      <c r="E105" s="11" t="inlineStr">
        <is>
          <t>Work</t>
        </is>
      </c>
      <c r="F105" s="11" t="n">
        <v>10</v>
      </c>
      <c r="G105" s="11" t="inlineStr">
        <is>
          <t>98</t>
        </is>
      </c>
      <c r="H105" s="11" t="inlineStr">
        <is>
          <t>After Create Package</t>
        </is>
      </c>
      <c r="I105" s="11" t="inlineStr">
        <is>
          <t>100</t>
        </is>
      </c>
      <c r="J105" s="13" t="inlineStr"/>
      <c r="K105" s="14">
        <f>IFERROR(MAX(L104),"")</f>
        <v/>
      </c>
      <c r="L105" s="14">
        <f>IF(K105="","",K105+F105)</f>
        <v/>
      </c>
      <c r="M105" s="11" t="inlineStr">
        <is>
          <t>Routing</t>
        </is>
      </c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</row>
    <row r="106">
      <c r="A106" s="11" t="n">
        <v>100</v>
      </c>
      <c r="B106" s="28" t="inlineStr">
        <is>
          <t>C&amp;A (ATO)</t>
        </is>
      </c>
      <c r="C106" s="11" t="inlineStr">
        <is>
          <t>All Systems</t>
        </is>
      </c>
      <c r="D106" s="11" t="inlineStr">
        <is>
          <t>Receive C&amp;A Approval</t>
        </is>
      </c>
      <c r="E106" s="11" t="inlineStr">
        <is>
          <t>Work</t>
        </is>
      </c>
      <c r="F106" s="11" t="n">
        <v>2</v>
      </c>
      <c r="G106" s="11" t="inlineStr">
        <is>
          <t>99</t>
        </is>
      </c>
      <c r="H106" s="11" t="inlineStr">
        <is>
          <t>After Route</t>
        </is>
      </c>
      <c r="I106" s="11" t="inlineStr">
        <is>
          <t>101</t>
        </is>
      </c>
      <c r="J106" s="13" t="inlineStr"/>
      <c r="K106" s="14">
        <f>IFERROR(MAX(L105),"")</f>
        <v/>
      </c>
      <c r="L106" s="14">
        <f>IF(K106="","",K106+F106)</f>
        <v/>
      </c>
      <c r="M106" s="11" t="inlineStr">
        <is>
          <t>Approval</t>
        </is>
      </c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</row>
    <row r="107">
      <c r="A107" s="11" t="n">
        <v>101</v>
      </c>
      <c r="B107" s="28" t="inlineStr">
        <is>
          <t>C&amp;A (ATO)</t>
        </is>
      </c>
      <c r="C107" s="11" t="inlineStr">
        <is>
          <t>All Systems</t>
        </is>
      </c>
      <c r="D107" s="11" t="inlineStr">
        <is>
          <t>C&amp;A complete (Approval to Operate (ATO) is signed)</t>
        </is>
      </c>
      <c r="E107" s="11" t="inlineStr">
        <is>
          <t>Milestone</t>
        </is>
      </c>
      <c r="F107" s="11" t="n">
        <v>0</v>
      </c>
      <c r="G107" s="11" t="inlineStr">
        <is>
          <t>100</t>
        </is>
      </c>
      <c r="H107" s="11" t="inlineStr">
        <is>
          <t>After Receive Approval</t>
        </is>
      </c>
      <c r="I107" s="11" t="inlineStr">
        <is>
          <t>124</t>
        </is>
      </c>
      <c r="J107" s="13" t="inlineStr"/>
      <c r="K107" s="14">
        <f>IFERROR(MAX(L106),"")</f>
        <v/>
      </c>
      <c r="L107" s="14">
        <f>K107</f>
        <v/>
      </c>
      <c r="M107" s="11" t="inlineStr">
        <is>
          <t>ATO - gates go-live</t>
        </is>
      </c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</row>
    <row r="108">
      <c r="A108" s="7" t="n">
        <v>102</v>
      </c>
      <c r="B108" s="29" t="inlineStr">
        <is>
          <t>Security Testing</t>
        </is>
      </c>
      <c r="C108" s="7" t="inlineStr">
        <is>
          <t>Parent rollup</t>
        </is>
      </c>
      <c r="D108" s="7" t="inlineStr">
        <is>
          <t>Application Security Assessment (ASA) / Penetration Testing (Pen)</t>
        </is>
      </c>
      <c r="E108" s="7" t="inlineStr">
        <is>
          <t>Rollup</t>
        </is>
      </c>
      <c r="F108" s="7" t="n">
        <v>35</v>
      </c>
      <c r="G108" s="7" t="inlineStr"/>
      <c r="H108" s="7" t="inlineStr">
        <is>
          <t>n/a (rollup)</t>
        </is>
      </c>
      <c r="I108" s="7" t="n"/>
      <c r="J108" s="7" t="inlineStr"/>
      <c r="K108" s="9">
        <f>IF(COUNT(K109:K114)=0,"",MIN(K109:K114))</f>
        <v/>
      </c>
      <c r="L108" s="9">
        <f>IF(COUNT(L109:L114)=0,"",MAX(L109:L114))</f>
        <v/>
      </c>
      <c r="M108" s="7" t="inlineStr">
        <is>
          <t>ASA parent rollup</t>
        </is>
      </c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</row>
    <row r="109">
      <c r="A109" s="11" t="n">
        <v>103</v>
      </c>
      <c r="B109" s="30" t="inlineStr">
        <is>
          <t>Security Testing</t>
        </is>
      </c>
      <c r="C109" s="11" t="inlineStr">
        <is>
          <t>All Systems</t>
        </is>
      </c>
      <c r="D109" s="11" t="inlineStr">
        <is>
          <t>Define ASA testing data</t>
        </is>
      </c>
      <c r="E109" s="11" t="inlineStr">
        <is>
          <t>Work</t>
        </is>
      </c>
      <c r="F109" s="11" t="n">
        <v>1</v>
      </c>
      <c r="G109" s="11" t="inlineStr">
        <is>
          <t>ExtFS+3d</t>
        </is>
      </c>
      <c r="H109" s="11" t="inlineStr">
        <is>
          <t>EXTERNAL: 3 days after linked test task</t>
        </is>
      </c>
      <c r="I109" s="11" t="inlineStr">
        <is>
          <t>104FS+10d, 105</t>
        </is>
      </c>
      <c r="J109" s="13" t="inlineStr">
        <is>
          <t>⚠ EXTERNAL — provisional from project start; wire to your project task</t>
        </is>
      </c>
      <c r="K109" s="14">
        <f>$B$1</f>
        <v/>
      </c>
      <c r="L109" s="14">
        <f>IF(K109="","",K109+F109)</f>
        <v/>
      </c>
      <c r="M109" s="11" t="inlineStr">
        <is>
          <t>Kickoff</t>
        </is>
      </c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</row>
    <row r="110">
      <c r="A110" s="11" t="n">
        <v>104</v>
      </c>
      <c r="B110" s="30" t="inlineStr">
        <is>
          <t>Security Testing</t>
        </is>
      </c>
      <c r="C110" s="11" t="inlineStr">
        <is>
          <t>All Systems</t>
        </is>
      </c>
      <c r="D110" s="11" t="inlineStr">
        <is>
          <t>Data Preparation</t>
        </is>
      </c>
      <c r="E110" s="11" t="inlineStr">
        <is>
          <t>Work</t>
        </is>
      </c>
      <c r="F110" s="11" t="n">
        <v>10</v>
      </c>
      <c r="G110" s="11" t="inlineStr">
        <is>
          <t>103FS+10d</t>
        </is>
      </c>
      <c r="H110" s="11" t="inlineStr">
        <is>
          <t>10 days after Define ASA testing data</t>
        </is>
      </c>
      <c r="I110" s="11" t="inlineStr">
        <is>
          <t>106</t>
        </is>
      </c>
      <c r="J110" s="13" t="inlineStr"/>
      <c r="K110" s="14">
        <f>IFERROR(MAX(L109+10),"")</f>
        <v/>
      </c>
      <c r="L110" s="14">
        <f>IF(K110="","",K110+F110)</f>
        <v/>
      </c>
      <c r="M110" s="11" t="inlineStr">
        <is>
          <t>Test data prep</t>
        </is>
      </c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</row>
    <row r="111">
      <c r="A111" s="11" t="n">
        <v>105</v>
      </c>
      <c r="B111" s="30" t="inlineStr">
        <is>
          <t>Security Testing</t>
        </is>
      </c>
      <c r="C111" s="11" t="inlineStr">
        <is>
          <t>All Systems</t>
        </is>
      </c>
      <c r="D111" s="11" t="inlineStr">
        <is>
          <t>Hold Rules of Engagement Meeting</t>
        </is>
      </c>
      <c r="E111" s="11" t="inlineStr">
        <is>
          <t>Work</t>
        </is>
      </c>
      <c r="F111" s="11" t="n">
        <v>1</v>
      </c>
      <c r="G111" s="11" t="inlineStr">
        <is>
          <t>103</t>
        </is>
      </c>
      <c r="H111" s="11" t="inlineStr">
        <is>
          <t>After Define ASA testing data</t>
        </is>
      </c>
      <c r="I111" s="11" t="inlineStr">
        <is>
          <t>106</t>
        </is>
      </c>
      <c r="J111" s="13" t="inlineStr"/>
      <c r="K111" s="14">
        <f>IFERROR(MAX(L109),"")</f>
        <v/>
      </c>
      <c r="L111" s="14">
        <f>IF(K111="","",K111+F111)</f>
        <v/>
      </c>
      <c r="M111" s="11" t="inlineStr">
        <is>
          <t>Engagement meeting</t>
        </is>
      </c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</row>
    <row r="112">
      <c r="A112" s="11" t="n">
        <v>106</v>
      </c>
      <c r="B112" s="30" t="inlineStr">
        <is>
          <t>Security Testing</t>
        </is>
      </c>
      <c r="C112" s="11" t="inlineStr">
        <is>
          <t>All Systems</t>
        </is>
      </c>
      <c r="D112" s="11" t="inlineStr">
        <is>
          <t>Conduct ASA Testing (iterative)</t>
        </is>
      </c>
      <c r="E112" s="11" t="inlineStr">
        <is>
          <t>Work</t>
        </is>
      </c>
      <c r="F112" s="11" t="n">
        <v>5</v>
      </c>
      <c r="G112" s="11" t="inlineStr">
        <is>
          <t>104, 23, ExtFS-1d, 105</t>
        </is>
      </c>
      <c r="H112" s="11" t="inlineStr">
        <is>
          <t>After Data Prep AND Salesforce SSP Complete AND EXTERNAL test task AND Rules of Engagement</t>
        </is>
      </c>
      <c r="I112" s="11" t="inlineStr">
        <is>
          <t>107</t>
        </is>
      </c>
      <c r="J112" s="13" t="inlineStr">
        <is>
          <t>⚠ Mixed — internal-dated; external leg may push start later</t>
        </is>
      </c>
      <c r="K112" s="14">
        <f>IFERROR(MAX(L110,L29,L111),"")</f>
        <v/>
      </c>
      <c r="L112" s="14">
        <f>IF(K112="","",K112+F112)</f>
        <v/>
      </c>
      <c r="M112" s="11" t="inlineStr">
        <is>
          <t>Pen testing</t>
        </is>
      </c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</row>
    <row r="113">
      <c r="A113" s="11" t="n">
        <v>107</v>
      </c>
      <c r="B113" s="30" t="inlineStr">
        <is>
          <t>Security Testing</t>
        </is>
      </c>
      <c r="C113" s="11" t="inlineStr">
        <is>
          <t>All Systems</t>
        </is>
      </c>
      <c r="D113" s="11" t="inlineStr">
        <is>
          <t>ASA remediation</t>
        </is>
      </c>
      <c r="E113" s="11" t="inlineStr">
        <is>
          <t>Work</t>
        </is>
      </c>
      <c r="F113" s="11" t="n">
        <v>7</v>
      </c>
      <c r="G113" s="11" t="inlineStr">
        <is>
          <t>106</t>
        </is>
      </c>
      <c r="H113" s="11" t="inlineStr">
        <is>
          <t>After Conduct ASA Testing</t>
        </is>
      </c>
      <c r="I113" s="11" t="inlineStr">
        <is>
          <t>108</t>
        </is>
      </c>
      <c r="J113" s="13" t="inlineStr"/>
      <c r="K113" s="14">
        <f>IFERROR(MAX(L112),"")</f>
        <v/>
      </c>
      <c r="L113" s="14">
        <f>IF(K113="","",K113+F113)</f>
        <v/>
      </c>
      <c r="M113" s="11" t="inlineStr">
        <is>
          <t>Fix findings</t>
        </is>
      </c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</row>
    <row r="114">
      <c r="A114" s="11" t="n">
        <v>108</v>
      </c>
      <c r="B114" s="30" t="inlineStr">
        <is>
          <t>Security Testing</t>
        </is>
      </c>
      <c r="C114" s="11" t="inlineStr">
        <is>
          <t>All Systems</t>
        </is>
      </c>
      <c r="D114" s="11" t="inlineStr">
        <is>
          <t>ASA Testing Complete</t>
        </is>
      </c>
      <c r="E114" s="11" t="inlineStr">
        <is>
          <t>Milestone</t>
        </is>
      </c>
      <c r="F114" s="11" t="n">
        <v>0</v>
      </c>
      <c r="G114" s="11" t="inlineStr">
        <is>
          <t>107</t>
        </is>
      </c>
      <c r="H114" s="11" t="inlineStr">
        <is>
          <t>After remediation</t>
        </is>
      </c>
      <c r="I114" s="11" t="inlineStr">
        <is>
          <t>Ext, 98FS-8d</t>
        </is>
      </c>
      <c r="J114" s="13" t="inlineStr"/>
      <c r="K114" s="14">
        <f>IFERROR(MAX(L113),"")</f>
        <v/>
      </c>
      <c r="L114" s="14">
        <f>K114</f>
        <v/>
      </c>
      <c r="M114" s="11" t="inlineStr">
        <is>
          <t>Unblocks C&amp;A Package</t>
        </is>
      </c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</row>
    <row r="115">
      <c r="A115" s="7" t="n">
        <v>109</v>
      </c>
      <c r="B115" s="31" t="inlineStr">
        <is>
          <t>Table Top Walkthrough</t>
        </is>
      </c>
      <c r="C115" s="7" t="inlineStr">
        <is>
          <t>Parent rollup</t>
        </is>
      </c>
      <c r="D115" s="7" t="inlineStr">
        <is>
          <t>Table Top Walkthrough</t>
        </is>
      </c>
      <c r="E115" s="7" t="inlineStr">
        <is>
          <t>Rollup</t>
        </is>
      </c>
      <c r="F115" s="7" t="n">
        <v>9</v>
      </c>
      <c r="G115" s="7" t="inlineStr"/>
      <c r="H115" s="7" t="inlineStr">
        <is>
          <t>n/a (rollup)</t>
        </is>
      </c>
      <c r="I115" s="7" t="n"/>
      <c r="J115" s="7" t="inlineStr"/>
      <c r="K115" s="9">
        <f>IF(COUNT(K116:K119)=0,"",MIN(K116:K119))</f>
        <v/>
      </c>
      <c r="L115" s="9">
        <f>IF(COUNT(L116:L119)=0,"",MAX(L116:L119))</f>
        <v/>
      </c>
      <c r="M115" s="7" t="inlineStr">
        <is>
          <t>Tabletop drill parent rollup</t>
        </is>
      </c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</row>
    <row r="116">
      <c r="A116" s="11" t="n">
        <v>110</v>
      </c>
      <c r="B116" s="32" t="inlineStr">
        <is>
          <t>Table Top Walkthrough</t>
        </is>
      </c>
      <c r="C116" s="11" t="inlineStr">
        <is>
          <t>myEDD</t>
        </is>
      </c>
      <c r="D116" s="11" t="inlineStr">
        <is>
          <t>myEDD Execute Table Top Walkthrough</t>
        </is>
      </c>
      <c r="E116" s="11" t="inlineStr">
        <is>
          <t>Work</t>
        </is>
      </c>
      <c r="F116" s="11" t="n">
        <v>1</v>
      </c>
      <c r="G116" s="11" t="inlineStr">
        <is>
          <t>59</t>
        </is>
      </c>
      <c r="H116" s="11" t="inlineStr">
        <is>
          <t>After Salesforce/Socure/TRef ISRP Complete</t>
        </is>
      </c>
      <c r="I116" s="11" t="inlineStr">
        <is>
          <t>113</t>
        </is>
      </c>
      <c r="J116" s="13" t="inlineStr"/>
      <c r="K116" s="14">
        <f>IFERROR(MAX(L65),"")</f>
        <v/>
      </c>
      <c r="L116" s="14">
        <f>IF(K116="","",K116+F116)</f>
        <v/>
      </c>
      <c r="M116" s="11" t="inlineStr">
        <is>
          <t>Drill execution</t>
        </is>
      </c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</row>
    <row r="117">
      <c r="A117" s="11" t="n">
        <v>111</v>
      </c>
      <c r="B117" s="32" t="inlineStr">
        <is>
          <t>Table Top Walkthrough</t>
        </is>
      </c>
      <c r="C117" s="11" t="inlineStr">
        <is>
          <t>Admin Utility</t>
        </is>
      </c>
      <c r="D117" s="11" t="inlineStr">
        <is>
          <t>Admin Util Execute Table Top Walkthrough</t>
        </is>
      </c>
      <c r="E117" s="11" t="inlineStr">
        <is>
          <t>Work</t>
        </is>
      </c>
      <c r="F117" s="11" t="n">
        <v>1</v>
      </c>
      <c r="G117" s="11" t="inlineStr">
        <is>
          <t>65FS-5d</t>
        </is>
      </c>
      <c r="H117" s="11" t="inlineStr">
        <is>
          <t>5 days before Admin Util ISRP Complete</t>
        </is>
      </c>
      <c r="I117" s="11" t="inlineStr">
        <is>
          <t>113</t>
        </is>
      </c>
      <c r="J117" s="13" t="inlineStr"/>
      <c r="K117" s="14">
        <f>IFERROR(MAX(L71-5),"")</f>
        <v/>
      </c>
      <c r="L117" s="14">
        <f>IF(K117="","",K117+F117)</f>
        <v/>
      </c>
      <c r="M117" s="11" t="inlineStr">
        <is>
          <t>Drill execution</t>
        </is>
      </c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</row>
    <row r="118">
      <c r="A118" s="11" t="n">
        <v>112</v>
      </c>
      <c r="B118" s="32" t="inlineStr">
        <is>
          <t>Table Top Walkthrough</t>
        </is>
      </c>
      <c r="C118" s="11" t="inlineStr">
        <is>
          <t>UIO</t>
        </is>
      </c>
      <c r="D118" s="11" t="inlineStr">
        <is>
          <t>UIO Execute Table Top Walkthrough</t>
        </is>
      </c>
      <c r="E118" s="11" t="inlineStr">
        <is>
          <t>Work</t>
        </is>
      </c>
      <c r="F118" s="11" t="n">
        <v>1</v>
      </c>
      <c r="G118" s="11" t="inlineStr">
        <is>
          <t>67FS-1d</t>
        </is>
      </c>
      <c r="H118" s="11" t="inlineStr">
        <is>
          <t>1 day before UIO ISRP Update finish</t>
        </is>
      </c>
      <c r="I118" s="11" t="inlineStr">
        <is>
          <t>113, 63</t>
        </is>
      </c>
      <c r="J118" s="13" t="inlineStr"/>
      <c r="K118" s="14">
        <f>IFERROR(MAX(L73-1),"")</f>
        <v/>
      </c>
      <c r="L118" s="14">
        <f>IF(K118="","",K118+F118)</f>
        <v/>
      </c>
      <c r="M118" s="11" t="inlineStr">
        <is>
          <t>Drill execution</t>
        </is>
      </c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</row>
    <row r="119">
      <c r="A119" s="11" t="n">
        <v>113</v>
      </c>
      <c r="B119" s="32" t="inlineStr">
        <is>
          <t>Table Top Walkthrough</t>
        </is>
      </c>
      <c r="C119" s="11" t="inlineStr">
        <is>
          <t>All Systems</t>
        </is>
      </c>
      <c r="D119" s="11" t="inlineStr">
        <is>
          <t>Table Top Walkthroughs complete</t>
        </is>
      </c>
      <c r="E119" s="11" t="inlineStr">
        <is>
          <t>Milestone</t>
        </is>
      </c>
      <c r="F119" s="11" t="n">
        <v>0</v>
      </c>
      <c r="G119" s="11" t="inlineStr">
        <is>
          <t>110, 111, 112</t>
        </is>
      </c>
      <c r="H119" s="11" t="inlineStr">
        <is>
          <t>After all walkthroughs complete</t>
        </is>
      </c>
      <c r="I119" s="11" t="inlineStr">
        <is>
          <t>Ext</t>
        </is>
      </c>
      <c r="J119" s="13" t="inlineStr"/>
      <c r="K119" s="14">
        <f>IFERROR(MAX(L116,L117,L118),"")</f>
        <v/>
      </c>
      <c r="L119" s="14">
        <f>K119</f>
        <v/>
      </c>
      <c r="M119" s="11" t="inlineStr">
        <is>
          <t>Group milestone</t>
        </is>
      </c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</row>
    <row r="120">
      <c r="A120" s="7" t="n">
        <v>114</v>
      </c>
      <c r="B120" s="33" t="inlineStr">
        <is>
          <t>CSD Elastic (Logging)</t>
        </is>
      </c>
      <c r="C120" s="7" t="inlineStr">
        <is>
          <t>Parent rollup</t>
        </is>
      </c>
      <c r="D120" s="7" t="inlineStr">
        <is>
          <t>Cyber Security Division (CSD) Elastic Development</t>
        </is>
      </c>
      <c r="E120" s="7" t="inlineStr">
        <is>
          <t>Rollup</t>
        </is>
      </c>
      <c r="F120" s="7" t="n">
        <v>169</v>
      </c>
      <c r="G120" s="7" t="inlineStr"/>
      <c r="H120" s="7" t="inlineStr">
        <is>
          <t>n/a (rollup)</t>
        </is>
      </c>
      <c r="I120" s="7" t="n"/>
      <c r="J120" s="7" t="inlineStr"/>
      <c r="K120" s="9">
        <f>IF(COUNT(K121:K130)=0,"",MIN(K121:K130))</f>
        <v/>
      </c>
      <c r="L120" s="9">
        <f>IF(COUNT(L121:L130)=0,"",MAX(L121:L130))</f>
        <v/>
      </c>
      <c r="M120" s="7" t="inlineStr">
        <is>
          <t>Elastic logging parent rollup</t>
        </is>
      </c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</row>
    <row r="121">
      <c r="A121" s="11" t="n">
        <v>115</v>
      </c>
      <c r="B121" s="34" t="inlineStr">
        <is>
          <t>CSD Elastic (Logging)</t>
        </is>
      </c>
      <c r="C121" s="11" t="inlineStr">
        <is>
          <t>All Systems</t>
        </is>
      </c>
      <c r="D121" s="11" t="inlineStr">
        <is>
          <t>Submit Elastic Log Ingestion and Dashboard Specifications</t>
        </is>
      </c>
      <c r="E121" s="11" t="inlineStr">
        <is>
          <t>Work</t>
        </is>
      </c>
      <c r="F121" s="11" t="n">
        <v>1</v>
      </c>
      <c r="G121" s="11" t="inlineStr">
        <is>
          <t>ExtFS-3d</t>
        </is>
      </c>
      <c r="H121" s="11" t="inlineStr">
        <is>
          <t>EXTERNAL: 3 days before Review Requirements Complete</t>
        </is>
      </c>
      <c r="I121" s="11" t="inlineStr">
        <is>
          <t>116FS+30d</t>
        </is>
      </c>
      <c r="J121" s="13" t="inlineStr">
        <is>
          <t>⚠ EXTERNAL — provisional from project start; wire to your project task</t>
        </is>
      </c>
      <c r="K121" s="14">
        <f>$B$1</f>
        <v/>
      </c>
      <c r="L121" s="14">
        <f>IF(K121="","",K121+F121)</f>
        <v/>
      </c>
      <c r="M121" s="11" t="inlineStr">
        <is>
          <t>Spec submission</t>
        </is>
      </c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</row>
    <row r="122">
      <c r="A122" s="11" t="n">
        <v>116</v>
      </c>
      <c r="B122" s="34" t="inlineStr">
        <is>
          <t>CSD Elastic (Logging)</t>
        </is>
      </c>
      <c r="C122" s="11" t="inlineStr">
        <is>
          <t>All Systems</t>
        </is>
      </c>
      <c r="D122" s="11" t="inlineStr">
        <is>
          <t>Submit Elastic Intake Form</t>
        </is>
      </c>
      <c r="E122" s="11" t="inlineStr">
        <is>
          <t>Work</t>
        </is>
      </c>
      <c r="F122" s="11" t="n">
        <v>4</v>
      </c>
      <c r="G122" s="11" t="inlineStr">
        <is>
          <t>115FS+30d</t>
        </is>
      </c>
      <c r="H122" s="11" t="inlineStr">
        <is>
          <t>30 days after Specs</t>
        </is>
      </c>
      <c r="I122" s="11" t="inlineStr">
        <is>
          <t>117FS+43d</t>
        </is>
      </c>
      <c r="J122" s="13" t="inlineStr"/>
      <c r="K122" s="14">
        <f>IFERROR(MAX(L121+30),"")</f>
        <v/>
      </c>
      <c r="L122" s="14">
        <f>IF(K122="","",K122+F122)</f>
        <v/>
      </c>
      <c r="M122" s="11" t="inlineStr">
        <is>
          <t>Intake form</t>
        </is>
      </c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</row>
    <row r="123">
      <c r="A123" s="11" t="n">
        <v>117</v>
      </c>
      <c r="B123" s="34" t="inlineStr">
        <is>
          <t>CSD Elastic (Logging)</t>
        </is>
      </c>
      <c r="C123" s="11" t="inlineStr">
        <is>
          <t>All Systems</t>
        </is>
      </c>
      <c r="D123" s="11" t="inlineStr">
        <is>
          <t>Engagement &amp; Initial Discovery</t>
        </is>
      </c>
      <c r="E123" s="11" t="inlineStr">
        <is>
          <t>Work</t>
        </is>
      </c>
      <c r="F123" s="11" t="n">
        <v>15</v>
      </c>
      <c r="G123" s="11" t="inlineStr">
        <is>
          <t>116FS+43d</t>
        </is>
      </c>
      <c r="H123" s="11" t="inlineStr">
        <is>
          <t>43 days after Intake Form</t>
        </is>
      </c>
      <c r="I123" s="11" t="inlineStr">
        <is>
          <t>118, 119</t>
        </is>
      </c>
      <c r="J123" s="13" t="inlineStr"/>
      <c r="K123" s="14">
        <f>IFERROR(MAX(L122+43),"")</f>
        <v/>
      </c>
      <c r="L123" s="14">
        <f>IF(K123="","",K123+F123)</f>
        <v/>
      </c>
      <c r="M123" s="11" t="inlineStr">
        <is>
          <t>Discovery</t>
        </is>
      </c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</row>
    <row r="124">
      <c r="A124" s="11" t="n">
        <v>118</v>
      </c>
      <c r="B124" s="34" t="inlineStr">
        <is>
          <t>CSD Elastic (Logging)</t>
        </is>
      </c>
      <c r="C124" s="11" t="inlineStr">
        <is>
          <t>Salesforce</t>
        </is>
      </c>
      <c r="D124" s="11" t="inlineStr">
        <is>
          <t>Salesforce Log Integration</t>
        </is>
      </c>
      <c r="E124" s="11" t="inlineStr">
        <is>
          <t>Work</t>
        </is>
      </c>
      <c r="F124" s="11" t="n">
        <v>37</v>
      </c>
      <c r="G124" s="11" t="inlineStr">
        <is>
          <t>117</t>
        </is>
      </c>
      <c r="H124" s="11" t="inlineStr">
        <is>
          <t>After Engagement</t>
        </is>
      </c>
      <c r="I124" s="11" t="inlineStr">
        <is>
          <t>120</t>
        </is>
      </c>
      <c r="J124" s="13" t="inlineStr"/>
      <c r="K124" s="14">
        <f>IFERROR(MAX(L123),"")</f>
        <v/>
      </c>
      <c r="L124" s="14">
        <f>IF(K124="","",K124+F124)</f>
        <v/>
      </c>
      <c r="M124" s="11" t="inlineStr">
        <is>
          <t>Log integration</t>
        </is>
      </c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</row>
    <row r="125">
      <c r="A125" s="11" t="n">
        <v>119</v>
      </c>
      <c r="B125" s="34" t="inlineStr">
        <is>
          <t>CSD Elastic (Logging)</t>
        </is>
      </c>
      <c r="C125" s="11" t="inlineStr">
        <is>
          <t>Gateway</t>
        </is>
      </c>
      <c r="D125" s="11" t="inlineStr">
        <is>
          <t>Gateway Log Integration</t>
        </is>
      </c>
      <c r="E125" s="11" t="inlineStr">
        <is>
          <t>Work</t>
        </is>
      </c>
      <c r="F125" s="11" t="n">
        <v>37</v>
      </c>
      <c r="G125" s="11" t="inlineStr">
        <is>
          <t>117</t>
        </is>
      </c>
      <c r="H125" s="11" t="inlineStr">
        <is>
          <t>After Engagement</t>
        </is>
      </c>
      <c r="I125" s="11" t="inlineStr">
        <is>
          <t>120</t>
        </is>
      </c>
      <c r="J125" s="13" t="inlineStr"/>
      <c r="K125" s="14">
        <f>IFERROR(MAX(L123),"")</f>
        <v/>
      </c>
      <c r="L125" s="14">
        <f>IF(K125="","",K125+F125)</f>
        <v/>
      </c>
      <c r="M125" s="11" t="inlineStr">
        <is>
          <t>Log integration</t>
        </is>
      </c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</row>
    <row r="126">
      <c r="A126" s="11" t="n">
        <v>120</v>
      </c>
      <c r="B126" s="34" t="inlineStr">
        <is>
          <t>CSD Elastic (Logging)</t>
        </is>
      </c>
      <c r="C126" s="11" t="inlineStr">
        <is>
          <t>Socure</t>
        </is>
      </c>
      <c r="D126" s="11" t="inlineStr">
        <is>
          <t>Verification of Socure Log Ingestion</t>
        </is>
      </c>
      <c r="E126" s="11" t="inlineStr">
        <is>
          <t>Work</t>
        </is>
      </c>
      <c r="F126" s="11" t="n">
        <v>2</v>
      </c>
      <c r="G126" s="11" t="inlineStr">
        <is>
          <t>118, 119</t>
        </is>
      </c>
      <c r="H126" s="11" t="inlineStr">
        <is>
          <t>After all log integrations</t>
        </is>
      </c>
      <c r="I126" s="11" t="inlineStr">
        <is>
          <t>121, 122</t>
        </is>
      </c>
      <c r="J126" s="13" t="inlineStr"/>
      <c r="K126" s="14">
        <f>IFERROR(MAX(L124,L125),"")</f>
        <v/>
      </c>
      <c r="L126" s="14">
        <f>IF(K126="","",K126+F126)</f>
        <v/>
      </c>
      <c r="M126" s="11" t="inlineStr">
        <is>
          <t>Verification</t>
        </is>
      </c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</row>
    <row r="127">
      <c r="A127" s="11" t="n">
        <v>121</v>
      </c>
      <c r="B127" s="34" t="inlineStr">
        <is>
          <t>CSD Elastic (Logging)</t>
        </is>
      </c>
      <c r="C127" s="11" t="inlineStr">
        <is>
          <t>All Systems</t>
        </is>
      </c>
      <c r="D127" s="11" t="inlineStr">
        <is>
          <t>Verify data against source</t>
        </is>
      </c>
      <c r="E127" s="11" t="inlineStr">
        <is>
          <t>Work</t>
        </is>
      </c>
      <c r="F127" s="11" t="n">
        <v>2</v>
      </c>
      <c r="G127" s="11" t="inlineStr">
        <is>
          <t>120</t>
        </is>
      </c>
      <c r="H127" s="11" t="inlineStr">
        <is>
          <t>After Verification</t>
        </is>
      </c>
      <c r="I127" s="11" t="inlineStr">
        <is>
          <t>122FS+3d</t>
        </is>
      </c>
      <c r="J127" s="13" t="inlineStr"/>
      <c r="K127" s="14">
        <f>IFERROR(MAX(L126),"")</f>
        <v/>
      </c>
      <c r="L127" s="14">
        <f>IF(K127="","",K127+F127)</f>
        <v/>
      </c>
      <c r="M127" s="11" t="inlineStr">
        <is>
          <t>Data verification</t>
        </is>
      </c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</row>
    <row r="128">
      <c r="A128" s="11" t="n">
        <v>122</v>
      </c>
      <c r="B128" s="34" t="inlineStr">
        <is>
          <t>CSD Elastic (Logging)</t>
        </is>
      </c>
      <c r="C128" s="11" t="inlineStr">
        <is>
          <t>All Systems</t>
        </is>
      </c>
      <c r="D128" s="11" t="inlineStr">
        <is>
          <t>Dashboard buildout</t>
        </is>
      </c>
      <c r="E128" s="11" t="inlineStr">
        <is>
          <t>Work</t>
        </is>
      </c>
      <c r="F128" s="11" t="n">
        <v>32</v>
      </c>
      <c r="G128" s="11" t="inlineStr">
        <is>
          <t>120, 121FS+3d</t>
        </is>
      </c>
      <c r="H128" s="11" t="inlineStr">
        <is>
          <t>After Verification</t>
        </is>
      </c>
      <c r="I128" s="11" t="inlineStr">
        <is>
          <t>123</t>
        </is>
      </c>
      <c r="J128" s="13" t="inlineStr"/>
      <c r="K128" s="14">
        <f>IFERROR(MAX(L126,L127+3),"")</f>
        <v/>
      </c>
      <c r="L128" s="14">
        <f>IF(K128="","",K128+F128)</f>
        <v/>
      </c>
      <c r="M128" s="11" t="inlineStr">
        <is>
          <t>Dashboard work</t>
        </is>
      </c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</row>
    <row r="129">
      <c r="A129" s="11" t="n">
        <v>123</v>
      </c>
      <c r="B129" s="34" t="inlineStr">
        <is>
          <t>CSD Elastic (Logging)</t>
        </is>
      </c>
      <c r="C129" s="11" t="inlineStr">
        <is>
          <t>All Systems</t>
        </is>
      </c>
      <c r="D129" s="11" t="inlineStr">
        <is>
          <t>CSD Elastic Development complete</t>
        </is>
      </c>
      <c r="E129" s="11" t="inlineStr">
        <is>
          <t>Milestone</t>
        </is>
      </c>
      <c r="F129" s="11" t="n">
        <v>0</v>
      </c>
      <c r="G129" s="11" t="inlineStr">
        <is>
          <t>122</t>
        </is>
      </c>
      <c r="H129" s="11" t="inlineStr">
        <is>
          <t>After Dashboard buildout</t>
        </is>
      </c>
      <c r="I129" s="11" t="n"/>
      <c r="J129" s="13" t="inlineStr"/>
      <c r="K129" s="14">
        <f>IFERROR(MAX(L128),"")</f>
        <v/>
      </c>
      <c r="L129" s="14">
        <f>K129</f>
        <v/>
      </c>
      <c r="M129" s="11" t="inlineStr">
        <is>
          <t>Group milestone</t>
        </is>
      </c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  <c r="AO129" s="10" t="n"/>
      <c r="AP129" s="10" t="n"/>
      <c r="AQ129" s="10" t="n"/>
      <c r="AR129" s="10" t="n"/>
    </row>
    <row r="130">
      <c r="A130" s="11" t="n">
        <v>124</v>
      </c>
      <c r="B130" s="35" t="inlineStr">
        <is>
          <t>Final Rollup</t>
        </is>
      </c>
      <c r="C130" s="11" t="inlineStr">
        <is>
          <t>All Systems</t>
        </is>
      </c>
      <c r="D130" s="11" t="inlineStr">
        <is>
          <t>Artifact Delivery Complete</t>
        </is>
      </c>
      <c r="E130" s="11" t="inlineStr">
        <is>
          <t>Milestone</t>
        </is>
      </c>
      <c r="F130" s="11" t="n">
        <v>0</v>
      </c>
      <c r="G130" s="11" t="inlineStr">
        <is>
          <t>70, 37, 18, 96, 78, 101</t>
        </is>
      </c>
      <c r="H130" s="11" t="inlineStr">
        <is>
          <t>After ALL artifact milestones (ISRP, PIA+SSP group, PIAs, SAD, TD, C&amp;A)</t>
        </is>
      </c>
      <c r="I130" s="11" t="inlineStr">
        <is>
          <t>Ext</t>
        </is>
      </c>
      <c r="J130" s="13" t="inlineStr"/>
      <c r="K130" s="14">
        <f>IFERROR(MAX(L76,L43,L24,L102,L84,L107),"")</f>
        <v/>
      </c>
      <c r="L130" s="14">
        <f>K130</f>
        <v/>
      </c>
      <c r="M130" s="11" t="inlineStr">
        <is>
          <t>FINAL ARTIFACT GATE</t>
        </is>
      </c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</row>
  </sheetData>
  <autoFilter ref="A6:M130"/>
  <mergeCells count="6">
    <mergeCell ref="B4:F4"/>
    <mergeCell ref="B2:C2"/>
    <mergeCell ref="A5:M5"/>
    <mergeCell ref="E2:F2"/>
    <mergeCell ref="B3:C3"/>
    <mergeCell ref="E3:F3"/>
  </mergeCells>
  <conditionalFormatting sqref="N7:AR130">
    <cfRule type="expression" priority="1" dxfId="0" stopIfTrue="1">
      <formula>AND($E7="Milestone",$K7&lt;&gt;"",N$3&lt;=$L7,N$3+6&gt;=$K7)</formula>
    </cfRule>
    <cfRule type="expression" priority="2" dxfId="1" stopIfTrue="1">
      <formula>AND($E7="Rollup",$K7&lt;&gt;"",$L7&lt;&gt;"",N$3+6&gt;=$K7,N$3&lt;=$L7)</formula>
    </cfRule>
    <cfRule type="expression" priority="3" dxfId="2">
      <formula>AND($K7&lt;&gt;"",$L7&lt;&gt;"",$E7&lt;&gt;"Rollup",N$3+6&gt;=$K7,N$3&lt;=$L7)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36" t="inlineStr">
        <is>
          <t>Abbreviations</t>
        </is>
      </c>
      <c r="B1" s="36" t="inlineStr">
        <is>
          <t>Expansion</t>
        </is>
      </c>
      <c r="C1" s="36" t="inlineStr">
        <is>
          <t>Category</t>
        </is>
      </c>
      <c r="D1" s="36" t="n"/>
    </row>
    <row r="2">
      <c r="A2" s="37" t="inlineStr">
        <is>
          <t>SSP</t>
        </is>
      </c>
      <c r="B2" s="37" t="inlineStr">
        <is>
          <t xml:space="preserve">System Security Plan. </t>
        </is>
      </c>
      <c r="C2" s="37" t="inlineStr">
        <is>
          <t>Security and Compliance Artifacts</t>
        </is>
      </c>
      <c r="D2" s="37" t="n"/>
    </row>
    <row r="3">
      <c r="A3" s="37" t="inlineStr">
        <is>
          <t>PIA</t>
        </is>
      </c>
      <c r="B3" s="37" t="inlineStr">
        <is>
          <t xml:space="preserve">Privacy Impact Assessment.   </t>
        </is>
      </c>
      <c r="C3" s="37" t="inlineStr">
        <is>
          <t>Security and Compliance Artifacts</t>
        </is>
      </c>
      <c r="D3" s="37" t="n"/>
    </row>
    <row r="4">
      <c r="A4" s="37" t="inlineStr">
        <is>
          <t>PTA</t>
        </is>
      </c>
      <c r="B4" s="37" t="inlineStr">
        <is>
          <t xml:space="preserve">Privacy Threshold (Assessment). </t>
        </is>
      </c>
      <c r="C4" s="37" t="inlineStr">
        <is>
          <t>Security and Compliance Artifacts</t>
        </is>
      </c>
      <c r="D4" s="37" t="n"/>
    </row>
    <row r="5">
      <c r="A5" s="37" t="inlineStr">
        <is>
          <t>BIA</t>
        </is>
      </c>
      <c r="B5" s="37" t="inlineStr">
        <is>
          <t xml:space="preserve">Business Impact Assessment.   </t>
        </is>
      </c>
      <c r="C5" s="37" t="inlineStr">
        <is>
          <t>Security and Compliance Artifacts</t>
        </is>
      </c>
      <c r="D5" s="37" t="n"/>
    </row>
    <row r="6">
      <c r="A6" s="37" t="inlineStr">
        <is>
          <t>ISRP</t>
        </is>
      </c>
      <c r="B6" s="37" t="inlineStr">
        <is>
          <t xml:space="preserve">Information System Recovery Plan. </t>
        </is>
      </c>
      <c r="C6" s="37" t="inlineStr">
        <is>
          <t>Security and Compliance Artifacts</t>
        </is>
      </c>
      <c r="D6" s="37" t="n"/>
    </row>
    <row r="7">
      <c r="A7" s="37" t="inlineStr">
        <is>
          <t>TRP</t>
        </is>
      </c>
      <c r="B7" s="37" t="inlineStr">
        <is>
          <t xml:space="preserve">Technology Recovery Plan.   </t>
        </is>
      </c>
      <c r="C7" s="37" t="inlineStr">
        <is>
          <t>Security and Compliance Artifacts</t>
        </is>
      </c>
      <c r="D7" s="37" t="n"/>
    </row>
    <row r="8">
      <c r="A8" s="37" t="inlineStr">
        <is>
          <t>POAMs</t>
        </is>
      </c>
      <c r="B8" s="37" t="inlineStr">
        <is>
          <t xml:space="preserve">Plan of Action and Milestones.   </t>
        </is>
      </c>
      <c r="C8" s="37" t="inlineStr">
        <is>
          <t>Security and Compliance Artifacts</t>
        </is>
      </c>
      <c r="D8" s="37" t="n"/>
    </row>
    <row r="9">
      <c r="A9" s="37" t="inlineStr">
        <is>
          <t>SAD</t>
        </is>
      </c>
      <c r="B9" s="37" t="inlineStr">
        <is>
          <t>System Architectural Design/Security Architectural Designs</t>
        </is>
      </c>
      <c r="C9" s="37" t="inlineStr">
        <is>
          <t>Security and Compliance Artifacts</t>
        </is>
      </c>
      <c r="D9" s="37" t="n"/>
    </row>
    <row r="10">
      <c r="A10" s="37" t="inlineStr">
        <is>
          <t>ASA</t>
        </is>
      </c>
      <c r="B10" s="37" t="inlineStr">
        <is>
          <t xml:space="preserve">Application Security Assessment.  </t>
        </is>
      </c>
      <c r="C10" s="37" t="inlineStr">
        <is>
          <t>Security and Compliance Artifacts</t>
        </is>
      </c>
      <c r="D10" s="37" t="n"/>
    </row>
    <row r="11">
      <c r="A11" s="37" t="inlineStr">
        <is>
          <t>Pen</t>
        </is>
      </c>
      <c r="B11" s="37" t="inlineStr">
        <is>
          <t xml:space="preserve">Penetration Testing. </t>
        </is>
      </c>
      <c r="C11" s="37" t="inlineStr">
        <is>
          <t>Security and Compliance Artifacts</t>
        </is>
      </c>
      <c r="D11" s="37" t="n"/>
    </row>
    <row r="12">
      <c r="A12" s="37" t="inlineStr">
        <is>
          <t>C&amp;A</t>
        </is>
      </c>
      <c r="B12" s="37" t="inlineStr">
        <is>
          <t xml:space="preserve">Certification and Accreditation.   </t>
        </is>
      </c>
      <c r="C12" s="37" t="inlineStr">
        <is>
          <t>Security and Compliance Artifacts</t>
        </is>
      </c>
      <c r="D12" s="37" t="n"/>
    </row>
    <row r="13">
      <c r="A13" s="37" t="inlineStr">
        <is>
          <t>ATO</t>
        </is>
      </c>
      <c r="B13" s="37" t="inlineStr">
        <is>
          <t xml:space="preserve">Approval to Operate. </t>
        </is>
      </c>
      <c r="C13" s="37" t="inlineStr">
        <is>
          <t>Security and Compliance Artifacts</t>
        </is>
      </c>
      <c r="D13" s="37" t="n"/>
    </row>
    <row r="14">
      <c r="A14" s="37" t="inlineStr">
        <is>
          <t>SRS</t>
        </is>
      </c>
      <c r="B14" s="37" t="n"/>
      <c r="C14" s="37" t="inlineStr">
        <is>
          <t>Security and Compliance Artifacts</t>
        </is>
      </c>
      <c r="D14" s="37" t="n"/>
    </row>
    <row r="15">
      <c r="A15" s="37" t="inlineStr">
        <is>
          <t>SLA</t>
        </is>
      </c>
      <c r="B15" s="37" t="n"/>
      <c r="C15" s="37" t="inlineStr">
        <is>
          <t>Security and Compliance Artifacts</t>
        </is>
      </c>
      <c r="D15" s="37" t="n"/>
    </row>
    <row r="16">
      <c r="A16" s="37" t="inlineStr">
        <is>
          <t>RFC</t>
        </is>
      </c>
      <c r="B16" s="37" t="n"/>
      <c r="C16" s="37" t="inlineStr">
        <is>
          <t>Security and Compliance Artifacts</t>
        </is>
      </c>
      <c r="D16" s="37" t="n"/>
    </row>
    <row r="17">
      <c r="A17" s="37" t="inlineStr">
        <is>
          <t>CSD</t>
        </is>
      </c>
      <c r="B17" s="37" t="inlineStr">
        <is>
          <t xml:space="preserve">Cyber Security Division.   </t>
        </is>
      </c>
      <c r="C17" s="37" t="inlineStr">
        <is>
          <t>Organizations, Divisions, Groups</t>
        </is>
      </c>
      <c r="D17" s="37" t="n"/>
    </row>
    <row r="18">
      <c r="A18" s="37" t="inlineStr">
        <is>
          <t>PMO</t>
        </is>
      </c>
      <c r="B18" s="37" t="inlineStr">
        <is>
          <t xml:space="preserve">Project Management Office. </t>
        </is>
      </c>
      <c r="C18" s="37" t="inlineStr">
        <is>
          <t>Organizations, Divisions, Groups</t>
        </is>
      </c>
      <c r="D18" s="37" t="n"/>
    </row>
    <row r="19">
      <c r="A19" s="37" t="inlineStr">
        <is>
          <t>ESPMO</t>
        </is>
      </c>
      <c r="B19" s="37" t="inlineStr">
        <is>
          <t xml:space="preserve">Enterprise Strategies and Project Management Office.   </t>
        </is>
      </c>
      <c r="C19" s="37" t="inlineStr">
        <is>
          <t>Organizations, Divisions, Groups</t>
        </is>
      </c>
      <c r="D19" s="37" t="n"/>
    </row>
    <row r="20">
      <c r="A20" s="37" t="inlineStr">
        <is>
          <t>EPMO</t>
        </is>
      </c>
      <c r="B20" s="37" t="inlineStr">
        <is>
          <t xml:space="preserve">Enterprise Services &amp; Project Management Office. </t>
        </is>
      </c>
      <c r="C20" s="37" t="inlineStr">
        <is>
          <t>Organizations, Divisions, Groups</t>
        </is>
      </c>
      <c r="D20" s="37" t="n"/>
    </row>
    <row r="21">
      <c r="A21" s="37" t="inlineStr">
        <is>
          <t>PDG</t>
        </is>
      </c>
      <c r="B21" s="37" t="inlineStr">
        <is>
          <t>Project Delivery Group</t>
        </is>
      </c>
      <c r="C21" s="37" t="inlineStr">
        <is>
          <t>Organizations, Divisions, Groups</t>
        </is>
      </c>
      <c r="D21" s="37" t="n"/>
    </row>
    <row r="22">
      <c r="A22" s="37" t="inlineStr">
        <is>
          <t>CRMG</t>
        </is>
      </c>
      <c r="B22" s="37" t="inlineStr">
        <is>
          <t xml:space="preserve">Change and Release Management Group.  </t>
        </is>
      </c>
      <c r="C22" s="37" t="inlineStr">
        <is>
          <t>Organizations, Divisions, Groups</t>
        </is>
      </c>
      <c r="D22" s="37" t="n"/>
    </row>
    <row r="23">
      <c r="A23" s="37" t="inlineStr">
        <is>
          <t>IT</t>
        </is>
      </c>
      <c r="B23" s="37" t="inlineStr">
        <is>
          <t xml:space="preserve">Information Technology. </t>
        </is>
      </c>
      <c r="C23" s="37" t="inlineStr">
        <is>
          <t>Organizations, Divisions, Groups</t>
        </is>
      </c>
      <c r="D23" s="37" t="n"/>
    </row>
    <row r="24">
      <c r="A24" s="37" t="inlineStr">
        <is>
          <t>EDD</t>
        </is>
      </c>
      <c r="B24" s="37" t="inlineStr">
        <is>
          <t>Employment Development Department</t>
        </is>
      </c>
      <c r="C24" s="37" t="inlineStr">
        <is>
          <t>Organizations, Divisions, Groups</t>
        </is>
      </c>
      <c r="D24" s="37" t="n"/>
    </row>
    <row r="25">
      <c r="A25" s="37" t="inlineStr">
        <is>
          <t>ESG</t>
        </is>
      </c>
      <c r="B25" s="37" t="n"/>
      <c r="C25" s="37" t="inlineStr">
        <is>
          <t>Organizations, Divisions, Groups</t>
        </is>
      </c>
      <c r="D25" s="37" t="n"/>
    </row>
    <row r="26">
      <c r="A26" s="37" t="inlineStr">
        <is>
          <t>ITB</t>
        </is>
      </c>
      <c r="B26" s="37" t="n"/>
      <c r="C26" s="37" t="inlineStr">
        <is>
          <t>Organizations, Divisions, Groups</t>
        </is>
      </c>
      <c r="D26" s="37" t="n"/>
    </row>
    <row r="27">
      <c r="A27" s="37" t="inlineStr">
        <is>
          <t>ISD</t>
        </is>
      </c>
      <c r="B27" s="37" t="n"/>
      <c r="C27" s="37" t="inlineStr">
        <is>
          <t>Organizations, Divisions, Groups</t>
        </is>
      </c>
      <c r="D27" s="37" t="n"/>
    </row>
    <row r="28">
      <c r="A28" s="37" t="inlineStr">
        <is>
          <t>EAO</t>
        </is>
      </c>
      <c r="B28" s="37" t="n"/>
      <c r="C28" s="37" t="inlineStr">
        <is>
          <t>Organizations, Divisions, Groups</t>
        </is>
      </c>
      <c r="D28" s="37" t="n"/>
    </row>
    <row r="29">
      <c r="A29" s="37" t="inlineStr">
        <is>
          <t>EOA</t>
        </is>
      </c>
      <c r="B29" s="37" t="n"/>
      <c r="C29" s="37" t="inlineStr">
        <is>
          <t>Organizations, Divisions, Groups</t>
        </is>
      </c>
      <c r="D29" s="37" t="n"/>
    </row>
    <row r="30">
      <c r="A30" s="37" t="inlineStr">
        <is>
          <t>EWG</t>
        </is>
      </c>
      <c r="B30" s="37" t="n"/>
      <c r="C30" s="37" t="inlineStr">
        <is>
          <t>Organizations, Divisions, Groups</t>
        </is>
      </c>
      <c r="D30" s="37" t="n"/>
    </row>
    <row r="31">
      <c r="A31" s="37" t="inlineStr">
        <is>
          <t>PMOG</t>
        </is>
      </c>
      <c r="B31" s="37" t="n"/>
      <c r="C31" s="37" t="inlineStr">
        <is>
          <t>Organizations, Divisions, Groups</t>
        </is>
      </c>
      <c r="D31" s="37" t="n"/>
    </row>
    <row r="32">
      <c r="A32" s="37" t="inlineStr">
        <is>
          <t>TG</t>
        </is>
      </c>
      <c r="B32" s="37" t="n"/>
      <c r="C32" s="37" t="inlineStr">
        <is>
          <t>Organizations, Divisions, Groups</t>
        </is>
      </c>
      <c r="D32" s="37" t="n"/>
    </row>
    <row r="33">
      <c r="A33" s="37" t="inlineStr">
        <is>
          <t>CDT</t>
        </is>
      </c>
      <c r="B33" s="37" t="n"/>
      <c r="C33" s="37" t="inlineStr">
        <is>
          <t>Organizations, Divisions, Groups</t>
        </is>
      </c>
      <c r="D33" s="37" t="n"/>
    </row>
    <row r="34">
      <c r="A34" s="37" t="inlineStr">
        <is>
          <t>ELT</t>
        </is>
      </c>
      <c r="B34" s="37" t="n"/>
      <c r="C34" s="37" t="inlineStr">
        <is>
          <t>Organizations, Divisions, Groups</t>
        </is>
      </c>
      <c r="D34" s="37" t="n"/>
    </row>
    <row r="35">
      <c r="A35" s="37" t="inlineStr">
        <is>
          <t>MIC</t>
        </is>
      </c>
      <c r="B35" s="37" t="n"/>
      <c r="C35" s="37" t="inlineStr">
        <is>
          <t>Organizations, Divisions, Groups</t>
        </is>
      </c>
      <c r="D35" s="37" t="n"/>
    </row>
    <row r="36">
      <c r="A36" s="37" t="inlineStr">
        <is>
          <t>PRO</t>
        </is>
      </c>
      <c r="B36" s="37" t="n"/>
      <c r="C36" s="37" t="inlineStr">
        <is>
          <t>Organizations, Divisions, Groups</t>
        </is>
      </c>
      <c r="D36" s="37" t="n"/>
    </row>
    <row r="37">
      <c r="A37" s="37" t="inlineStr">
        <is>
          <t>LOB</t>
        </is>
      </c>
      <c r="B37" s="37" t="n"/>
      <c r="C37" s="37" t="inlineStr">
        <is>
          <t>Organizations, Divisions, Groups</t>
        </is>
      </c>
      <c r="D37" s="37" t="n"/>
    </row>
    <row r="38">
      <c r="A38" s="37" t="inlineStr">
        <is>
          <t>IDP</t>
        </is>
      </c>
      <c r="B38" s="37" t="n"/>
      <c r="C38" s="37" t="inlineStr">
        <is>
          <t>Systems, Products, Initiatives</t>
        </is>
      </c>
      <c r="D38" s="37" t="n"/>
    </row>
    <row r="39">
      <c r="A39" s="37" t="inlineStr">
        <is>
          <t>ICAM</t>
        </is>
      </c>
      <c r="B39" s="37" t="n"/>
      <c r="C39" s="37" t="inlineStr">
        <is>
          <t>Systems, Products, Initiatives</t>
        </is>
      </c>
      <c r="D39" s="37" t="n"/>
    </row>
    <row r="40">
      <c r="A40" s="37" t="inlineStr">
        <is>
          <t>ICMS</t>
        </is>
      </c>
      <c r="B40" s="37" t="n"/>
      <c r="C40" s="37" t="inlineStr">
        <is>
          <t>Systems, Products, Initiatives</t>
        </is>
      </c>
      <c r="D40" s="37" t="n"/>
    </row>
    <row r="41">
      <c r="A41" s="37" t="inlineStr">
        <is>
          <t>UIO</t>
        </is>
      </c>
      <c r="B41" s="37" t="n"/>
      <c r="C41" s="37" t="inlineStr">
        <is>
          <t>Systems, Products, Initiatives</t>
        </is>
      </c>
      <c r="D41" s="37" t="n"/>
    </row>
    <row r="42">
      <c r="A42" s="37" t="inlineStr">
        <is>
          <t>UIB</t>
        </is>
      </c>
      <c r="B42" s="37" t="n"/>
      <c r="C42" s="37" t="inlineStr">
        <is>
          <t>Systems, Products, Initiatives</t>
        </is>
      </c>
      <c r="D42" s="37" t="n"/>
    </row>
    <row r="43">
      <c r="A43" s="37" t="inlineStr">
        <is>
          <t>UI</t>
        </is>
      </c>
      <c r="B43" s="37" t="n"/>
      <c r="C43" s="37" t="inlineStr">
        <is>
          <t>Systems, Products, Initiatives</t>
        </is>
      </c>
      <c r="D43" s="37" t="n"/>
    </row>
    <row r="44">
      <c r="A44" s="37" t="inlineStr">
        <is>
          <t>UX</t>
        </is>
      </c>
      <c r="B44" s="37" t="n"/>
      <c r="C44" s="37" t="inlineStr">
        <is>
          <t>Systems, Products, Initiatives</t>
        </is>
      </c>
      <c r="D44" s="37" t="n"/>
    </row>
    <row r="45">
      <c r="A45" s="37" t="inlineStr">
        <is>
          <t>CX</t>
        </is>
      </c>
      <c r="B45" s="37" t="n"/>
      <c r="C45" s="37" t="inlineStr">
        <is>
          <t>Systems, Products, Initiatives</t>
        </is>
      </c>
      <c r="D45" s="37" t="n"/>
    </row>
    <row r="46">
      <c r="A46" s="37" t="inlineStr">
        <is>
          <t>LMS</t>
        </is>
      </c>
      <c r="B46" s="37" t="n"/>
      <c r="C46" s="37" t="inlineStr">
        <is>
          <t>Systems, Products, Initiatives</t>
        </is>
      </c>
      <c r="D46" s="37" t="n"/>
    </row>
    <row r="47">
      <c r="A47" s="37" t="inlineStr">
        <is>
          <t>ETO</t>
        </is>
      </c>
      <c r="B47" s="37" t="n"/>
      <c r="C47" s="37" t="inlineStr">
        <is>
          <t>Systems, Products, Initiatives</t>
        </is>
      </c>
      <c r="D47" s="37" t="n"/>
    </row>
    <row r="48">
      <c r="A48" s="37" t="inlineStr">
        <is>
          <t>PMF</t>
        </is>
      </c>
      <c r="B48" s="37" t="n"/>
      <c r="C48" s="37" t="inlineStr">
        <is>
          <t>Systems, Products, Initiatives</t>
        </is>
      </c>
      <c r="D48" s="37" t="n"/>
    </row>
    <row r="49">
      <c r="A49" s="37" t="inlineStr">
        <is>
          <t>myEDD</t>
        </is>
      </c>
      <c r="B49" s="37" t="n"/>
      <c r="C49" s="37" t="inlineStr">
        <is>
          <t>Systems, Products, Initiatives</t>
        </is>
      </c>
      <c r="D49" s="37" t="n"/>
    </row>
    <row r="50">
      <c r="A50" s="37" t="inlineStr">
        <is>
          <t>EDDNext</t>
        </is>
      </c>
      <c r="B50" s="37" t="n"/>
      <c r="C50" s="37" t="inlineStr">
        <is>
          <t>Systems, Products, Initiatives</t>
        </is>
      </c>
      <c r="D50" s="37" t="n"/>
    </row>
    <row r="51">
      <c r="A51" s="37" t="inlineStr">
        <is>
          <t>EA</t>
        </is>
      </c>
      <c r="B51" s="37" t="n"/>
      <c r="C51" s="37" t="inlineStr">
        <is>
          <t>Project and Technical Terms</t>
        </is>
      </c>
      <c r="D51" s="37" t="n"/>
    </row>
    <row r="52">
      <c r="A52" s="37" t="inlineStr">
        <is>
          <t>CMD</t>
        </is>
      </c>
      <c r="B52" s="37" t="n"/>
      <c r="C52" s="37" t="inlineStr">
        <is>
          <t>Project and Technical Terms</t>
        </is>
      </c>
      <c r="D52" s="37" t="n"/>
    </row>
    <row r="53">
      <c r="A53" s="37" t="inlineStr">
        <is>
          <t>ISA</t>
        </is>
      </c>
      <c r="B53" s="37" t="n"/>
      <c r="C53" s="37" t="inlineStr">
        <is>
          <t>Project and Technical Terms</t>
        </is>
      </c>
      <c r="D53" s="37" t="n"/>
    </row>
    <row r="54">
      <c r="A54" s="37" t="inlineStr">
        <is>
          <t>MVP</t>
        </is>
      </c>
      <c r="B54" s="37" t="n"/>
      <c r="C54" s="37" t="inlineStr">
        <is>
          <t>Project and Technical Terms</t>
        </is>
      </c>
      <c r="D54" s="37" t="n"/>
    </row>
    <row r="55">
      <c r="A55" s="37" t="inlineStr">
        <is>
          <t>POC</t>
        </is>
      </c>
      <c r="B55" s="37" t="n"/>
      <c r="C55" s="37" t="inlineStr">
        <is>
          <t>Project and Technical Terms</t>
        </is>
      </c>
      <c r="D55" s="37" t="n"/>
    </row>
    <row r="56">
      <c r="A56" s="37" t="inlineStr">
        <is>
          <t>OCM</t>
        </is>
      </c>
      <c r="B56" s="37" t="n"/>
      <c r="C56" s="37" t="inlineStr">
        <is>
          <t>Project and Technical Terms</t>
        </is>
      </c>
      <c r="D56" s="37" t="n"/>
    </row>
    <row r="57">
      <c r="A57" s="37" t="inlineStr">
        <is>
          <t>ICD</t>
        </is>
      </c>
      <c r="B57" s="37" t="n"/>
      <c r="C57" s="37" t="inlineStr">
        <is>
          <t>Project and Technical Terms</t>
        </is>
      </c>
      <c r="D57" s="37" t="n"/>
    </row>
    <row r="58">
      <c r="A58" s="37" t="inlineStr">
        <is>
          <t>OCP</t>
        </is>
      </c>
      <c r="B58" s="37" t="n"/>
      <c r="C58" s="37" t="inlineStr">
        <is>
          <t>Project and Technical Terms</t>
        </is>
      </c>
      <c r="D58" s="37" t="n"/>
    </row>
    <row r="59">
      <c r="A59" s="37" t="inlineStr">
        <is>
          <t>SCP</t>
        </is>
      </c>
      <c r="B59" s="37" t="n"/>
      <c r="C59" s="37" t="inlineStr">
        <is>
          <t>Project and Technical Terms</t>
        </is>
      </c>
      <c r="D59" s="37" t="n"/>
    </row>
    <row r="60">
      <c r="A60" s="37" t="inlineStr">
        <is>
          <t>UAT</t>
        </is>
      </c>
      <c r="B60" s="37" t="n"/>
      <c r="C60" s="37" t="inlineStr">
        <is>
          <t>Project and Technical Terms</t>
        </is>
      </c>
      <c r="D60" s="37" t="n"/>
    </row>
    <row r="61">
      <c r="A61" s="37" t="inlineStr">
        <is>
          <t>QA</t>
        </is>
      </c>
      <c r="B61" s="37" t="n"/>
      <c r="C61" s="37" t="inlineStr">
        <is>
          <t>Project and Technical Terms</t>
        </is>
      </c>
      <c r="D61" s="37" t="n"/>
    </row>
    <row r="62">
      <c r="A62" s="37" t="inlineStr">
        <is>
          <t>API</t>
        </is>
      </c>
      <c r="B62" s="37" t="n"/>
      <c r="C62" s="37" t="inlineStr">
        <is>
          <t>Project and Technical Terms</t>
        </is>
      </c>
      <c r="D62" s="37" t="n"/>
    </row>
    <row r="63">
      <c r="A63" s="37" t="inlineStr">
        <is>
          <t>SSN</t>
        </is>
      </c>
      <c r="B63" s="37" t="n"/>
      <c r="C63" s="37" t="inlineStr">
        <is>
          <t>Project and Technical Terms</t>
        </is>
      </c>
      <c r="D63" s="37" t="n"/>
    </row>
    <row r="64">
      <c r="A64" s="37" t="inlineStr">
        <is>
          <t>AI</t>
        </is>
      </c>
      <c r="B64" s="37" t="n"/>
      <c r="C64" s="37" t="inlineStr">
        <is>
          <t>Project and Technical Terms</t>
        </is>
      </c>
      <c r="D64" s="37" t="n"/>
    </row>
    <row r="65">
      <c r="A65" s="37" t="inlineStr">
        <is>
          <t>OSaaS</t>
        </is>
      </c>
      <c r="B65" s="37" t="n"/>
      <c r="C65" s="37" t="inlineStr">
        <is>
          <t>Project and Technical Terms</t>
        </is>
      </c>
      <c r="D65" s="37" t="n"/>
    </row>
    <row r="66">
      <c r="A66" s="37" t="inlineStr">
        <is>
          <t>TRef</t>
        </is>
      </c>
      <c r="B66" s="37" t="n"/>
      <c r="C66" s="37" t="inlineStr">
        <is>
          <t>Project and Technical Terms</t>
        </is>
      </c>
      <c r="D66" s="3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36" t="inlineStr">
        <is>
          <t>Security Artifact Task Template</t>
        </is>
      </c>
      <c r="B1" s="36" t="n"/>
    </row>
    <row r="2">
      <c r="A2" s="37" t="n"/>
      <c r="B2" s="37" t="n"/>
    </row>
    <row r="3">
      <c r="A3" s="37" t="inlineStr">
        <is>
          <t>Workbook contents</t>
        </is>
      </c>
      <c r="B3" s="37" t="n"/>
    </row>
    <row r="4">
      <c r="A4" s="37" t="inlineStr">
        <is>
          <t>Security Tasks Template</t>
        </is>
      </c>
      <c r="B4" s="37" t="inlineStr">
        <is>
          <t>Full task list (1 through 124) grouped by category. Each row has Task ID, Category, System/Component, Task Name, Type, Duration, Predecessors (with internal IDs remapped), Predecessor plain English, Successors, and Notes. AutoFilter on. Freeze panes at column E.</t>
        </is>
      </c>
    </row>
    <row r="5">
      <c r="A5" s="37" t="n"/>
      <c r="B5" s="37" t="n"/>
    </row>
    <row r="6">
      <c r="A6" s="37" t="inlineStr">
        <is>
          <t>Reading the Predecessor / Successor columns</t>
        </is>
      </c>
      <c r="B6" s="37" t="n"/>
    </row>
    <row r="7">
      <c r="A7" s="37" t="inlineStr">
        <is>
          <t>Numeric IDs (e.g. 11, 23, 37)</t>
        </is>
      </c>
      <c r="B7" s="37" t="inlineStr">
        <is>
          <t>These reference OTHER tasks in this template. Look up that Task ID in Sheet 1 to see the linked task.</t>
        </is>
      </c>
    </row>
    <row r="8">
      <c r="A8" s="37" t="inlineStr">
        <is>
          <t>"Ext" entries</t>
        </is>
      </c>
      <c r="B8" s="37" t="inlineStr">
        <is>
          <t>EXTERNAL dependency. This is linked to a task that lives outside this artifact template (e.g. a design task, a scope-change trigger, a Requirements milestone). The Predecessor plain English column tells you what kind of external task to wire it to in YOUR project schedule.</t>
        </is>
      </c>
    </row>
    <row r="9">
      <c r="A9" s="37" t="inlineStr">
        <is>
          <t>FS / SS / FF suffixes with day offsets</t>
        </is>
      </c>
      <c r="B9" s="37" t="inlineStr">
        <is>
          <t>Standard Microsoft Project link types. FS = Finish-to-Start, SS = Start-to-Start, FF = Finish-to-Finish. "FS-8d" means the predecessor must finish 8 days BEFORE this task can start. "SS+5d" means starts 5 days after predecessor starts.</t>
        </is>
      </c>
    </row>
    <row r="10">
      <c r="A10" s="37" t="inlineStr">
        <is>
          <t>Categories</t>
        </is>
      </c>
      <c r="B10" s="37" t="n"/>
    </row>
    <row r="11">
      <c r="A11" s="37" t="inlineStr">
        <is>
          <t>CSD - Privacy Policy</t>
        </is>
      </c>
      <c r="B11" s="37" t="inlineStr">
        <is>
          <t>Privacy Policy Updates + Update Privacy Notice. Triggered after PIA Complete.</t>
        </is>
      </c>
    </row>
    <row r="12">
      <c r="A12" s="37" t="inlineStr">
        <is>
          <t>CSD - PIA</t>
        </is>
      </c>
      <c r="B12" s="37" t="inlineStr">
        <is>
          <t>Privacy Impact Assessment per system. Pattern: Update/Submit &gt; Review &gt; (Remediate / Re-review) &gt; Approve &gt; Complete.</t>
        </is>
      </c>
    </row>
    <row r="13">
      <c r="A13" s="37" t="inlineStr">
        <is>
          <t>CSD - SSP</t>
        </is>
      </c>
      <c r="B13" s="37" t="inlineStr">
        <is>
          <t>System Security Plan per system. Pattern: Update/Submit Initial Draft &gt; Iterative reviews &gt; Review and Approve &gt; Complete.</t>
        </is>
      </c>
    </row>
    <row r="14">
      <c r="A14" s="37" t="inlineStr">
        <is>
          <t>ESG - BIA</t>
        </is>
      </c>
      <c r="B14" s="37" t="inlineStr">
        <is>
          <t>Business Impact Assessment per system. Owned by Enterprise Storage Group. Pattern: Update/Submit &gt; Review &gt; Update &gt; Approve &gt; Complete.</t>
        </is>
      </c>
    </row>
    <row r="15">
      <c r="A15" s="37" t="inlineStr">
        <is>
          <t>ESG - ISRP</t>
        </is>
      </c>
      <c r="B15" s="37" t="inlineStr">
        <is>
          <t>Information System Recovery Plan per system. Pattern: Draft &gt; Review Draft &gt; Final &gt; (Re-review if scope change) &gt; Approve Final &gt; Complete.</t>
        </is>
      </c>
    </row>
    <row r="16">
      <c r="A16" s="37" t="inlineStr">
        <is>
          <t>ITB - Technical Design</t>
        </is>
      </c>
      <c r="B16" s="37" t="inlineStr">
        <is>
          <t>Pre-requisite to SAD. Pattern: Develop and Submit &gt; Review &gt; Approve &gt; Complete.</t>
        </is>
      </c>
    </row>
    <row r="17">
      <c r="A17" s="37" t="inlineStr">
        <is>
          <t>ITB - SAD</t>
        </is>
      </c>
      <c r="B17" s="37" t="inlineStr">
        <is>
          <t>System Architectural Design per system. Pattern: Update/Submit &gt; Review and Approve &gt; Complete.</t>
        </is>
      </c>
    </row>
    <row r="18">
      <c r="A18" s="37" t="inlineStr">
        <is>
          <t>C&amp;A (ATO)</t>
        </is>
      </c>
      <c r="B18" s="37" t="inlineStr">
        <is>
          <t>Certification and Accreditation. Final gate. Creates SSP C&amp;A Package, routes for approval, receives ATO sign-off.</t>
        </is>
      </c>
    </row>
    <row r="19">
      <c r="A19" s="37" t="inlineStr">
        <is>
          <t>Security Testing</t>
        </is>
      </c>
      <c r="B19" s="37" t="inlineStr">
        <is>
          <t>Application Security Assessment / Pen Testing. Runs after SSPs complete and before C&amp;A package.</t>
        </is>
      </c>
    </row>
    <row r="20">
      <c r="A20" s="37" t="inlineStr">
        <is>
          <t>Table Top Walkthrough</t>
        </is>
      </c>
      <c r="B20" s="37" t="inlineStr">
        <is>
          <t>Operational readiness drill per system. Runs after ISRP work.</t>
        </is>
      </c>
    </row>
    <row r="21">
      <c r="A21" s="37" t="inlineStr">
        <is>
          <t>CSD Elastic (Logging)</t>
        </is>
      </c>
      <c r="B21" s="37" t="inlineStr">
        <is>
          <t>Log ingestion + dashboard for monitoring. Runs in parallel with main artifact work.</t>
        </is>
      </c>
    </row>
    <row r="22">
      <c r="A22" s="37" t="inlineStr">
        <is>
          <t>Final Rollup</t>
        </is>
      </c>
      <c r="B22" s="37" t="inlineStr">
        <is>
          <t>Artifact Delivery Complete. The single gate that all artifact streams must clear before project Execution Complete.</t>
        </is>
      </c>
    </row>
    <row r="23">
      <c r="A23" s="37" t="inlineStr">
        <is>
          <t>How to use for a new project</t>
        </is>
      </c>
      <c r="B23" s="37" t="n"/>
    </row>
    <row r="24">
      <c r="A24" s="37" t="inlineStr">
        <is>
          <t>Step 1</t>
        </is>
      </c>
      <c r="B24" s="37" t="inlineStr">
        <is>
          <t>Identify which systems your project touches (Here we have assumed 4 systems: Salesforce/Socure/TRef, UIO, ICAM, Admin Utility). Each system needs its own PIA, SSP, BIA, ISRP, SAD chain.</t>
        </is>
      </c>
    </row>
    <row r="25">
      <c r="A25" s="37" t="inlineStr">
        <is>
          <t>Step 2</t>
        </is>
      </c>
      <c r="B25" s="37" t="inlineStr">
        <is>
          <t>Filter Sheet 1 by Category. Copy the rows for each category into your project schedule, duplicating per system.</t>
        </is>
      </c>
    </row>
    <row r="26">
      <c r="A26" s="37" t="inlineStr">
        <is>
          <t>Step 3</t>
        </is>
      </c>
      <c r="B26" s="37" t="inlineStr">
        <is>
          <t>Re-base the dates. Durations are the source of truth; start dates depend on your project plan.</t>
        </is>
      </c>
    </row>
    <row r="27">
      <c r="A27" s="37" t="inlineStr">
        <is>
          <t>Step 4</t>
        </is>
      </c>
      <c r="B27" s="37" t="inlineStr">
        <is>
          <t>Wire up the predecessor links. Internal IDs (numeric) point to other rows in this template. "Ext" entries need to be wired to YOUR project tasks (design, requirements, scope-change triggers).</t>
        </is>
      </c>
    </row>
    <row r="28">
      <c r="A28" s="37" t="inlineStr">
        <is>
          <t>Step 5</t>
        </is>
      </c>
      <c r="B28" s="37" t="inlineStr">
        <is>
          <t>Confirm assignments. Douglas Leone confirmed PMs do not complete these tasks. Assign to a CSD resource or System Owner.</t>
        </is>
      </c>
    </row>
    <row r="29">
      <c r="A29" s="37" t="inlineStr">
        <is>
          <t>Step 6</t>
        </is>
      </c>
      <c r="B29" s="37" t="inlineStr">
        <is>
          <t>Validate against the Dependency Map sheet to ensure all streams feed into the Final Rollup milestone.</t>
        </is>
      </c>
    </row>
    <row r="30">
      <c r="A30" s="37" t="n"/>
      <c r="B30" s="37" t="n"/>
    </row>
    <row r="31">
      <c r="A31" s="37" t="n"/>
      <c r="B31" s="37" t="n"/>
    </row>
    <row r="32">
      <c r="A32" s="37" t="inlineStr">
        <is>
          <t>System Owner ownership</t>
        </is>
      </c>
      <c r="B32" s="37" t="inlineStr">
        <is>
          <t>SSP and PIA sit under the System Owner in the RACI, not the Project Manager. PM coordinates and schedules; System Owner is accountable for content.</t>
        </is>
      </c>
    </row>
    <row r="33">
      <c r="A33" s="37" t="inlineStr">
        <is>
          <t>Confidentiality</t>
        </is>
      </c>
      <c r="B33" s="37" t="inlineStr">
        <is>
          <t>Completed SSPs and PIAs are confidential. Do not share verbatim content across projects. Use task structure only.</t>
        </is>
      </c>
    </row>
    <row r="34">
      <c r="A34" s="37" t="inlineStr">
        <is>
          <t>Re-review for scope change</t>
        </is>
      </c>
      <c r="B34" s="37" t="inlineStr">
        <is>
          <t>Both PIA and ISRP have Re-Review tasks marked EXTERNAL because they are triggered by a scope-change event on the main project. Include these as conditional tasks in your template.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2026-07-02T15:19:26Z</dcterms:created>
  <dcterms:modified xmlns:dcterms="http://purl.org/dc/terms/" xmlns:xsi="http://www.w3.org/2001/XMLSchema-instance" xsi:type="dcterms:W3CDTF">2026-07-02T15:19:26Z</dcterms:modified>
</cp:coreProperties>
</file>