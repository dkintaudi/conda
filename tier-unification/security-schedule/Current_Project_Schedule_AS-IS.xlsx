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Schedule" sheetId="2" state="visible" r:id="rId4"/>
    <sheet name="Phase Summary" sheetId="3" state="visible" r:id="rId5"/>
    <sheet name="Contacts" sheetId="4" state="visible" r:id="rId6"/>
  </sheets>
  <definedNames>
    <definedName function="false" hidden="false" localSheetId="1" name="_xlnm.Print_Titles" vbProcedure="false">Schedule!$1:$11</definedName>
    <definedName function="false" hidden="true" localSheetId="1" name="_xlnm._FilterDatabase" vbProcedure="false">Schedule!$A$11:$U$60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4" authorId="0">
      <text>
        <r>
          <rPr>
            <sz val="10"/>
            <rFont val="Arial"/>
            <family val="2"/>
          </rPr>
          <t xml:space="preserve">Project Governance documentation defining Steering Committee charter and membership; decision rights and authority matrix; escalation paths and thresholds; change control authority; reporting cadence; meeting governance; Sponsor/Owner roles. Often paired with the Project Charter.</t>
        </r>
      </text>
    </comment>
    <comment ref="H17" authorId="0">
      <text>
        <r>
          <rPr>
            <sz val="10"/>
            <rFont val="Arial"/>
            <family val="2"/>
          </rPr>
          <t xml:space="preserve">Project tracking log capturing Changes, Risks, Assumptions, Issues, and Dependencies. Living artifact initiated at project start and maintained continuously through Close. Reviewed at status meetings and steering committee.</t>
        </r>
      </text>
    </comment>
    <comment ref="H21" authorId="0">
      <text>
        <r>
          <rPr>
            <sz val="10"/>
            <rFont val="Arial"/>
            <family val="2"/>
          </rPr>
          <t xml:space="preserve">Single comprehensive Project Management Plan (PMBOK best practice) integrating all subsidiary management plans: Scope, Requirements, Schedule (mgmt approach), Cost, Quality, Resource/Organization, Communications, Risk/Issue/Change, Procurement, and Stakeholder Engagement. Approved baseline; deviations require change control.</t>
        </r>
      </text>
    </comment>
    <comment ref="H24" authorId="0">
      <text>
        <r>
          <rPr>
            <sz val="10"/>
            <rFont val="Arial"/>
            <family val="2"/>
          </rPr>
          <t xml:space="preserve">PMBOK requirements deliverable: formal documented business, stakeholder, functional, non-functional, and transition requirements. Owned by customer/business; documented by Business Analyst.</t>
        </r>
      </text>
    </comment>
    <comment ref="H25" authorId="0">
      <text>
        <r>
          <rPr>
            <sz val="10"/>
            <rFont val="Arial"/>
            <family val="2"/>
          </rPr>
          <t xml:space="preserve">PMBOK quality/test deliverable: test strategy, scope, test environments, schedule, and detailed test cases. Complements the Quality Management Plan and drives downstream System Testing and UAT.</t>
        </r>
      </text>
    </comment>
    <comment ref="H26" authorId="0">
      <text>
        <r>
          <rPr>
            <sz val="10"/>
            <rFont val="Arial"/>
            <family val="2"/>
          </rPr>
          <t xml:space="preserve">PMBOK traceability deliverable: links each requirement to objectives, design elements, code, test cases, and acceptance criteria. Maintained continuously through System Testing and UAT.</t>
        </r>
      </text>
    </comment>
    <comment ref="H28" authorId="0">
      <text>
        <r>
          <rPr>
            <sz val="10"/>
            <rFont val="Arial"/>
            <family val="2"/>
          </rPr>
          <t xml:space="preserve">Detailed deployment/rollout plan covering scope, sequence, resources, environments, communication, training delivery, and cutover steps for go-live. Complements Go-Live Readiness Plan (operational readiness) and Transition Plan (handoff to operations).</t>
        </r>
      </text>
    </comment>
    <comment ref="H29" authorId="0">
      <text>
        <r>
          <rPr>
            <sz val="10"/>
            <rFont val="Arial"/>
            <family val="2"/>
          </rPr>
          <t xml:space="preserve">Documented procedures to revert deployment if go-live fails. Includes trigger criteria, rollback steps, validation checks, communication plan, and recovery time objectives. Required prerequisite for go-live approval.</t>
        </r>
      </text>
    </comment>
    <comment ref="H30" authorId="0">
      <text>
        <r>
          <rPr>
            <sz val="10"/>
            <rFont val="Arial"/>
            <family val="2"/>
          </rPr>
          <t xml:space="preserve">PMBOK transition deliverable: training strategy, user guides, role-based training materials, and delivery schedule. Required for go-live readiness.</t>
        </r>
      </text>
    </comment>
    <comment ref="H34" authorId="0">
      <text>
        <r>
          <rPr>
            <sz val="10"/>
            <rFont val="Arial"/>
            <family val="2"/>
          </rPr>
          <t xml:space="preserve">Document business impact if the system is not available. Identify lines of business supported and how they will be impacted. Results inform ISRP and SLA requirements.</t>
        </r>
      </text>
    </comment>
    <comment ref="H35" authorId="0">
      <text>
        <r>
          <rPr>
            <sz val="10"/>
            <rFont val="Arial"/>
            <family val="2"/>
          </rPr>
          <t xml:space="preserve">Document whether the system will transmit, store, or create PII/FTI. Tied to FIPS 199 information-type identification. (Initiate-phase PIA per RACI is the kick-off; this row is the full delivery.)</t>
        </r>
      </text>
    </comment>
    <comment ref="H36" authorId="0">
      <text>
        <r>
          <rPr>
            <sz val="10"/>
            <rFont val="Arial"/>
            <family val="2"/>
          </rPr>
          <t xml:space="preserve">Evaluate system design, requirements, and minimum security requirements derived from security categorization to assess effectiveness against potential risks. Facilitated by CSD.</t>
        </r>
      </text>
    </comment>
    <comment ref="H37" authorId="0">
      <text>
        <r>
          <rPr>
            <sz val="10"/>
            <rFont val="Arial"/>
            <family val="2"/>
          </rPr>
          <t xml:space="preserve">Overview of security requirements and security/privacy controls in place or planned. Sections 1 &amp; 2 cover FIPS 199 categorization and classification.</t>
        </r>
      </text>
    </comment>
    <comment ref="H40" authorId="0">
      <text>
        <r>
          <rPr>
            <sz val="10"/>
            <rFont val="Arial"/>
            <family val="2"/>
          </rPr>
          <t xml:space="preserve">Architecture/design review and document evaluating planned system design, integration with other systems, and incorporation of shared services and common security controls (authN, DR, IDS, incident reporting). Includes solution architecture definition.</t>
        </r>
      </text>
    </comment>
    <comment ref="H41" authorId="0">
      <text>
        <r>
          <rPr>
            <sz val="10"/>
            <rFont val="Arial"/>
            <family val="2"/>
          </rPr>
          <t xml:space="preserve">Review and update Sections 1 &amp; 2. Complete Section 3 (NIST SP 800-53 security controls).</t>
        </r>
      </text>
    </comment>
    <comment ref="H42" authorId="0">
      <text>
        <r>
          <rPr>
            <sz val="10"/>
            <rFont val="Arial"/>
            <family val="2"/>
          </rPr>
          <t xml:space="preserve">Document how to start, recover, and reconstitute system elements: roles/responsibilities, business/tech contacts, alternate site, backup procedures. Required for mission-critical systems only.</t>
        </r>
      </text>
    </comment>
    <comment ref="H43" authorId="0">
      <text>
        <r>
          <rPr>
            <sz val="10"/>
            <rFont val="Arial"/>
            <family val="2"/>
          </rPr>
          <t xml:space="preserve">Meet with Cybersecurity Operations and Fraud Group to plan SIEM integration. Create Child RFC in Service Manager to initiate SIEM integration.</t>
        </r>
      </text>
    </comment>
    <comment ref="H44" authorId="0">
      <text>
        <r>
          <rPr>
            <sz val="10"/>
            <rFont val="Arial"/>
            <family val="2"/>
          </rPr>
          <t xml:space="preserve">Meet with Cyber Defense and Response Group (CDRG) to plan integration with Nessus, Veracode, and Prisma Cloud. Create Child RFCs in Service Manager per vulnerability system.</t>
        </r>
      </text>
    </comment>
    <comment ref="H45" authorId="0">
      <text>
        <r>
          <rPr>
            <sz val="10"/>
            <rFont val="Arial"/>
            <family val="2"/>
          </rPr>
          <t xml:space="preserve">Scan internal- and external-facing systems for vulnerabilities and security deficiencies. Document findings and report to PM/system owner/management for risk acceptance or remediation.</t>
        </r>
      </text>
    </comment>
    <comment ref="H46" authorId="0">
      <text>
        <r>
          <rPr>
            <sz val="10"/>
            <rFont val="Arial"/>
            <family val="2"/>
          </rPr>
          <t xml:space="preserve">Perform penetration testing against the system. Retest as needed based on findings.</t>
        </r>
      </text>
    </comment>
    <comment ref="H47" authorId="0">
      <text>
        <r>
          <rPr>
            <sz val="10"/>
            <rFont val="Arial"/>
            <family val="2"/>
          </rPr>
          <t xml:space="preserve">PMBOK validation deliverable: formal customer/business sign-off testing against documented requirements and RTM. Gates go-live.</t>
        </r>
      </text>
    </comment>
    <comment ref="H48" authorId="0">
      <text>
        <r>
          <rPr>
            <sz val="10"/>
            <rFont val="Arial"/>
            <family val="2"/>
          </rPr>
          <t xml:space="preserve">PMBOK validation deliverable: formal customer/business sign-off testing against documented requirements and RTM. Gates go-live.</t>
        </r>
      </text>
    </comment>
    <comment ref="H49" authorId="0">
      <text>
        <r>
          <rPr>
            <sz val="10"/>
            <rFont val="Arial"/>
            <family val="2"/>
          </rPr>
          <t xml:space="preserve">Assemble C&amp;A Package: (1) SSP and (2) POA&amp;Ms. ISO certifies controls align with FIPS-199. Authorizing Official (CIO/Director/Branch DD/CISO) renders the accreditation decision.</t>
        </r>
      </text>
    </comment>
    <comment ref="H53" authorId="0">
      <text>
        <r>
          <rPr>
            <sz val="10"/>
            <rFont val="Arial"/>
            <family val="2"/>
          </rPr>
          <t xml:space="preserve">Post-go-live hypercare period: production monitoring, defect triage and remediation, performance tuning, knowledge transfer to the operations team, and formal transition to steady-state support. Typically 30-60 business days following go-live. Concludes when stabilization exit criteria are met (defect rates within thresholds, system stability KPIs achieved, ops team readiness confirmed).</t>
        </r>
      </text>
    </comment>
  </commentList>
</comments>
</file>

<file path=xl/sharedStrings.xml><?xml version="1.0" encoding="utf-8"?>
<sst xmlns="http://schemas.openxmlformats.org/spreadsheetml/2006/main" count="741" uniqueCount="337">
  <si>
    <t xml:space="preserve">⚠   THIS IS A TEMPLATE — NOT A LIVE PROJECT SCHEDULE   ⚠</t>
  </si>
  <si>
    <t xml:space="preserve">Anticipation: the enterprise PPM tool (once selected) will produce the authoritative, project-specific schedule. This workbook is a reusable starter scaffold supporting both Waterfall and Agile delivery, combining EDD PM RACI (Most recent version), the Secure-by-Design guide, and PMI/PMBOK-standard PM deliverables.</t>
  </si>
  <si>
    <t xml:space="preserve">KEY IN THIS VERSION — BASELINE PHASE COLUMN</t>
  </si>
  <si>
    <t xml:space="preserve">Every deliverable has TWO lifecycle anchors: where active work STARTS, and where the final version is BASELINED. The new 'Baseline Phase' column (col F) shows where each deliverable is approved/finalized.</t>
  </si>
  <si>
    <t xml:space="preserve">• 23 deliverables: Baseline Phase = Start Phase (same-phase, no span).</t>
  </si>
  <si>
    <t xml:space="preserve">• 20 deliverables: Baseline Phase is later than Start Phase — highlighted with peach background and → arrow.</t>
  </si>
  <si>
    <t xml:space="preserve">Example: Requirements Traceability Matrix (RTM) starts active work in Plan but isn't baselined until end of Test.</t>
  </si>
  <si>
    <t xml:space="preserve">WHAT'S IN THIS WORKBOOK</t>
  </si>
  <si>
    <t xml:space="preserve">• Schedule  —  PM-expected deliverables with Source / Methodology / Baseline Phase classifications and Profiler Required? filtering.</t>
  </si>
  <si>
    <t xml:space="preserve">• Engagement Matrix  —  The Profiler provides the suggested matrix; the schedule keeps a Review and Revise Engagement Matrix task for PM follow-through.</t>
  </si>
  <si>
    <t xml:space="preserve">• Phase Summary  —  Auto-rollup by CA-PMF phase, baseline phase, methodology, and source.</t>
  </si>
  <si>
    <t xml:space="preserve">• Contacts  —  Seven EDD support groups referenced in the Secure-by-Design guide.</t>
  </si>
  <si>
    <t xml:space="preserve">METHODOLOGY COVERAGE — WORKS FOR BOTH WATERFALL AND AGILE</t>
  </si>
  <si>
    <t xml:space="preserve">Each deliverable is tagged with one of three values in the Methodology column:</t>
  </si>
  <si>
    <t xml:space="preserve">• Agile (orange badge)  —  Scrum/Agile-specific artifacts that don't apply to Waterfall.</t>
  </si>
  <si>
    <t xml:space="preserve">• Waterfall (indigo badge)  —  Formal upfront artifacts that Agile substitutes with iterative equivalents.</t>
  </si>
  <si>
    <t xml:space="preserve">• Both (green badge)  —  Method-agnostic deliverables that apply regardless of delivery approach.</t>
  </si>
  <si>
    <t xml:space="preserve">For a Waterfall project: include all 'Both' + 'Waterfall' rows; mark 'Agile' rows as N/A.</t>
  </si>
  <si>
    <t xml:space="preserve">For an Agile project: include all 'Both' + 'Agile' rows; mark 'Waterfall' rows as N/A.</t>
  </si>
  <si>
    <t xml:space="preserve">For Hybrid: keep all rows.</t>
  </si>
  <si>
    <t xml:space="preserve">METHODOLOGY-SPECIFIC DELIVERABLES</t>
  </si>
  <si>
    <t xml:space="preserve">Agile-only (2):</t>
  </si>
  <si>
    <t xml:space="preserve">• PLN-03  Product Vision &amp; Initial Product Backlog &amp; Roadmap/Sprint Planning</t>
  </si>
  <si>
    <t xml:space="preserve">• EXE-18  Generate/Update Product Backlog, Sprint Backlog, Product Increment &amp; Sprint Retrospective</t>
  </si>
  <si>
    <t xml:space="preserve">Waterfall-only (2):</t>
  </si>
  <si>
    <t xml:space="preserve">• PLN-04  Requirements Documentation  — comprehensive upfront documentation. Agile substitutes the Product Backlog (PLN-03).</t>
  </si>
  <si>
    <t xml:space="preserve">• PLN-06  Test Plan &amp; Test Cases  — formal upfront test strategy. Agile uses sprint-level test cases.</t>
  </si>
  <si>
    <t xml:space="preserve">Everything else (39): applies to both methodologies — Charter, Governance, RACI, CRAID, PMP, Implementation Plan, Rollback Plan, security deliverables, UAT, Training, etc.</t>
  </si>
  <si>
    <t xml:space="preserve">PMI CONSOLIDATIONS APPLIED IN THIS VERSION</t>
  </si>
  <si>
    <t xml:space="preserve">Four redundant deliverables removed because PMBOK treats them as duplicates:</t>
  </si>
  <si>
    <t xml:space="preserve">• 'Create a Project Plan' (was INI) — duplicates the consolidated PMP (PLN-01).</t>
  </si>
  <si>
    <t xml:space="preserve">• 'PIA (Initiate kick-off)' — duplicates EXE PIA Detailed.</t>
  </si>
  <si>
    <t xml:space="preserve">• 'SSP (Initiate kick-off)' — duplicates EXE SSP §1-2.</t>
  </si>
  <si>
    <t xml:space="preserve">• 'Develop Go-Live Readiness Plan' — overlaps with Implementation Plan + Transition Plan.</t>
  </si>
  <si>
    <t xml:space="preserve">One merge applied:</t>
  </si>
  <si>
    <t xml:space="preserve">• 'Define the Solution Architecture' (RACI) merged into 'Solution Architecture Document (SAD)' at EXE-07. One architecture deliverable, not two.</t>
  </si>
  <si>
    <t xml:space="preserve">Three PMBOK-aligned deliverables relocated to Plan phase (work originates there, not in Execute):</t>
  </si>
  <si>
    <t xml:space="preserve">• PLN-04 Requirements Documentation — PMBOK 'Collect Requirements' is a Planning process. Baseline established in Plan; refinements continue through Test via RTM.</t>
  </si>
  <si>
    <t xml:space="preserve">• PLN-05 Requirements Traceability Matrix (RTM) — initialized in Plan alongside requirements; maintained continuously through System Testing and UAT.</t>
  </si>
  <si>
    <t xml:space="preserve">• PLN-10 Training Plan &amp; Materials — Training strategy and approach planned in Plan; materials development continues into Execute leading up to go-live.</t>
  </si>
  <si>
    <t xml:space="preserve">Eight subsidiary plans consolidated into PLN-01 (PMP) per PMBOK (kept from prior version).</t>
  </si>
  <si>
    <t xml:space="preserve">DELIVERABLE ID SCHEME</t>
  </si>
  <si>
    <t xml:space="preserve">Deliverables use phase-prefix codes, not numeric WBS: CON-01, INI-01..08, PLN-01..11, EXE-01..19, CLS-01..04.</t>
  </si>
  <si>
    <t xml:space="preserve">Column header 'Deliverable ID' signals each row is a PM-expected deliverable.</t>
  </si>
  <si>
    <t xml:space="preserve">SCHEDULING MODEL — PHASE-PARALLEL</t>
  </si>
  <si>
    <t xml:space="preserve">Tasks within a phase (or Execute sub-phase) run in PARALLEL. Phases sequence.</t>
  </si>
  <si>
    <t xml:space="preserve">Concept → Initiate → Plan → Execute → Close.</t>
  </si>
  <si>
    <t xml:space="preserve">Within Execute: Sec Analysis → Design → Test → Implement. 'Ongoing' runs throughout.</t>
  </si>
  <si>
    <t xml:space="preserve">Note: Execute → 'Sec Analysis' covers security categorization deliverables (BIA, PIA Detailed, RA, SSP §1-2) per the Secure-by-Design guide. PMBOK 'Requirements Documentation' lives in Plan (PLN-04), not Execute — work originates in Planning per PMBOK.</t>
  </si>
  <si>
    <t xml:space="preserve">Each block 'completes' when the longest task in it finishes (the gate).</t>
  </si>
  <si>
    <t xml:space="preserve">HOW TO USE</t>
  </si>
  <si>
    <t xml:space="preserve">1. Open the Schedule sheet.</t>
  </si>
  <si>
    <t xml:space="preserve">2. Edit the four project info fields at the top (Project Name, PM, Project Start Date, Last Updated).</t>
  </si>
  <si>
    <t xml:space="preserve">3. Set your project methodology — use the Methodology column to mark Agile-only or Waterfall-only rows as N/A if they don't apply.</t>
  </si>
  <si>
    <t xml:space="preserve">4. Adjust Duration per your project. Update Status and % Complete as work progresses.</t>
  </si>
  <si>
    <t xml:space="preserve">5. Dates auto-recalculate via WORKDAY().</t>
  </si>
  <si>
    <t xml:space="preserve">CONVENTIONS</t>
  </si>
  <si>
    <t xml:space="preserve">• Blue, bold text = user input. Black = formula.</t>
  </si>
  <si>
    <t xml:space="preserve">• Source color codes: teal = RACI, gold = Secure-by-Design, violet = PMI/PMBOK.</t>
  </si>
  <si>
    <t xml:space="preserve">• Methodology color codes: orange = Agile, indigo = Waterfall, green = Both.</t>
  </si>
  <si>
    <t xml:space="preserve">• Duration in business days; weekends auto-skip; holidays not modeled (PPM tool handles).</t>
  </si>
  <si>
    <t xml:space="preserve">SOURCES &amp; ALIGNMENT</t>
  </si>
  <si>
    <t xml:space="preserve">• EDD PM Engagement Matrix — source model used by the Profiler; schedule retains review/revise accountability without duplicating the matrix tab.</t>
  </si>
  <si>
    <t xml:space="preserve">• EDD Secure-by-Design — Cybersecurity Project Management Deliverables guide.  (11 deliverables after SAD merge)</t>
  </si>
  <si>
    <t xml:space="preserve">• PMI / PMBOK Guide — standard PM deliverables.  (7 deliverables: PMP, Governance, CRAID, Implementation, Rollback, Test Plan, Req Doc, RTM, UAT, Training, PIR)</t>
  </si>
  <si>
    <t xml:space="preserve">• Aligned to CA-PMF; informed by SIMM §19.</t>
  </si>
  <si>
    <t xml:space="preserve">Replace this template with the official PPM tool schedule once that tool is in place.</t>
  </si>
  <si>
    <t xml:space="preserve">⚠  TEMPLATE — NOT A LIVE PROJECT SCHEDULE  ⚠</t>
  </si>
  <si>
    <t xml:space="preserve">PM-expected deliverables schedule with Methodology classification (Agile / Waterfall / Both). Combines EDD PM RACI, Secure-by-Design guide, and PMI/PMBOK standards. Phase-parallel scheduling model.</t>
  </si>
  <si>
    <t xml:space="preserve">Project Name:</t>
  </si>
  <si>
    <t xml:space="preserve">LWDA Intune Device Migration</t>
  </si>
  <si>
    <t xml:space="preserve">Project Manager:</t>
  </si>
  <si>
    <t xml:space="preserve">Delondi Kintaudi</t>
  </si>
  <si>
    <t xml:space="preserve">Project Start Date:</t>
  </si>
  <si>
    <t xml:space="preserve">Project End Date:</t>
  </si>
  <si>
    <t xml:space="preserve">Schedule Last Updated:</t>
  </si>
  <si>
    <t xml:space="preserve">Project Type:</t>
  </si>
  <si>
    <t xml:space="preserve">Waterfall</t>
  </si>
  <si>
    <t xml:space="preserve">Legend:  Blue = user input  •  Source: teal=RACI, gold=Secure-by-Design, violet=PMI  •  Methodology: orange=Agile, indigo=Waterfall, green=Both  •  ▶ = phase gate  •  ║ = parallel sibling</t>
  </si>
  <si>
    <t xml:space="preserve">Deliverable ID</t>
  </si>
  <si>
    <t xml:space="preserve">Profiler Required?</t>
  </si>
  <si>
    <t xml:space="preserve">Schedule
Category</t>
  </si>
  <si>
    <t xml:space="preserve">Source</t>
  </si>
  <si>
    <t xml:space="preserve">Methodology</t>
  </si>
  <si>
    <t xml:space="preserve">CA-PMF
Phase</t>
  </si>
  <si>
    <t xml:space="preserve">Execute
Sub-Phase</t>
  </si>
  <si>
    <t xml:space="preserve">Baseline
Phase</t>
  </si>
  <si>
    <t xml:space="preserve">Deliverable / Task</t>
  </si>
  <si>
    <t xml:space="preserve">Duration
(bus. days)</t>
  </si>
  <si>
    <t xml:space="preserve">Planned
Start</t>
  </si>
  <si>
    <t xml:space="preserve">Planned
End</t>
  </si>
  <si>
    <t xml:space="preserve">Actual Start</t>
  </si>
  <si>
    <t xml:space="preserve">Actual End</t>
  </si>
  <si>
    <t xml:space="preserve">Predecessor / Parallelism</t>
  </si>
  <si>
    <t xml:space="preserve">Responsible (R)</t>
  </si>
  <si>
    <t xml:space="preserve">Status</t>
  </si>
  <si>
    <t xml:space="preserve">% Complete</t>
  </si>
  <si>
    <t xml:space="preserve">Notes/Assumptions</t>
  </si>
  <si>
    <t xml:space="preserve">Comments</t>
  </si>
  <si>
    <t xml:space="preserve">Show?</t>
  </si>
  <si>
    <t xml:space="preserve">CON-01</t>
  </si>
  <si>
    <t xml:space="preserve">Yes</t>
  </si>
  <si>
    <t xml:space="preserve">Governance &amp; Management</t>
  </si>
  <si>
    <t xml:space="preserve">RACI</t>
  </si>
  <si>
    <t xml:space="preserve">Both</t>
  </si>
  <si>
    <t xml:space="preserve">Concept</t>
  </si>
  <si>
    <t xml:space="preserve">—</t>
  </si>
  <si>
    <t xml:space="preserve">Obtain Work Intake Confirmation</t>
  </si>
  <si>
    <t xml:space="preserve">Project Start</t>
  </si>
  <si>
    <t xml:space="preserve">Project Sponsor</t>
  </si>
  <si>
    <t xml:space="preserve">Not Started</t>
  </si>
  <si>
    <t xml:space="preserve">INI-01</t>
  </si>
  <si>
    <t xml:space="preserve">Initiate</t>
  </si>
  <si>
    <t xml:space="preserve">→ Close</t>
  </si>
  <si>
    <t xml:space="preserve">Develop Project Charter</t>
  </si>
  <si>
    <t xml:space="preserve">▶ After Concept</t>
  </si>
  <si>
    <t xml:space="preserve">Project Sponsor, IT Sponsor, Project Manager</t>
  </si>
  <si>
    <t xml:space="preserve">INI-02</t>
  </si>
  <si>
    <t xml:space="preserve">PMI</t>
  </si>
  <si>
    <t xml:space="preserve">Develop Project Management Plan(s)</t>
  </si>
  <si>
    <t xml:space="preserve">║ Parallel with INI-01</t>
  </si>
  <si>
    <t xml:space="preserve">Project Manager</t>
  </si>
  <si>
    <t xml:space="preserve">Defines decision rights and escalation paths. Approved by Steering Committee.</t>
  </si>
  <si>
    <t xml:space="preserve">INI-03</t>
  </si>
  <si>
    <t xml:space="preserve">Develop Stakeholder Register</t>
  </si>
  <si>
    <t xml:space="preserve">INI-04</t>
  </si>
  <si>
    <t xml:space="preserve">Review and Revise Engagement Matrix</t>
  </si>
  <si>
    <t xml:space="preserve">INI-05</t>
  </si>
  <si>
    <t xml:space="preserve">Establish CRAID Log</t>
  </si>
  <si>
    <t xml:space="preserve">Initial setup duration; maintained continuously through Close.</t>
  </si>
  <si>
    <t xml:space="preserve">INI-06</t>
  </si>
  <si>
    <t xml:space="preserve">Delivery &amp; Execution</t>
  </si>
  <si>
    <t xml:space="preserve">Engage Security Team (refer to CSD Cybersecurity Standards in Notes)</t>
  </si>
  <si>
    <t xml:space="preserve">IT System Owner</t>
  </si>
  <si>
    <t xml:space="preserve">CyberSecurity Link</t>
  </si>
  <si>
    <t xml:space="preserve">INI-07</t>
  </si>
  <si>
    <t xml:space="preserve">Develop Enterprise Architecture Engagement Plan</t>
  </si>
  <si>
    <t xml:space="preserve">INI-08</t>
  </si>
  <si>
    <t xml:space="preserve">Draft Release Readiness Review (RRR) Checklist</t>
  </si>
  <si>
    <t xml:space="preserve">PLN-01</t>
  </si>
  <si>
    <t xml:space="preserve">Plan</t>
  </si>
  <si>
    <t xml:space="preserve">Consolidate Project Management Plan(s)</t>
  </si>
  <si>
    <t xml:space="preserve">▶ After Initiate</t>
  </si>
  <si>
    <t xml:space="preserve">Consolidates 8 RACI subsidiary plans (Risk/Issue/Change, Communication, Scope, Requirements, Quality, Organization, Procurement, Cost) per PMBOK guidance.</t>
  </si>
  <si>
    <t xml:space="preserve">PLN-02</t>
  </si>
  <si>
    <t xml:space="preserve">Develop Project Schedule</t>
  </si>
  <si>
    <t xml:space="preserve">║ Parallel with PLN-01</t>
  </si>
  <si>
    <t xml:space="preserve">PLN-03</t>
  </si>
  <si>
    <t xml:space="preserve">Agile</t>
  </si>
  <si>
    <t xml:space="preserve">Develop Product Vision, Initial Backlog &amp; Sprint Roadmap</t>
  </si>
  <si>
    <t xml:space="preserve">Project Manager, Scrum Master</t>
  </si>
  <si>
    <t xml:space="preserve">PLN-04</t>
  </si>
  <si>
    <t xml:space="preserve">→ Sec Analysis</t>
  </si>
  <si>
    <t xml:space="preserve">Gather and Document Requirements</t>
  </si>
  <si>
    <t xml:space="preserve">Business Analyst</t>
  </si>
  <si>
    <t xml:space="preserve">PMBOK standard. Customer/Business accountable; BA executes. Feeds RTM, SAD, test cases.</t>
  </si>
  <si>
    <t xml:space="preserve">PLN-05</t>
  </si>
  <si>
    <t xml:space="preserve">→ Test</t>
  </si>
  <si>
    <t xml:space="preserve">Develop Test Plan &amp; Test Cases</t>
  </si>
  <si>
    <t xml:space="preserve">Enterprise Testing Office Lead</t>
  </si>
  <si>
    <t xml:space="preserve">PMBOK standard. ETO Lead owned.</t>
  </si>
  <si>
    <t xml:space="preserve">PLN-06</t>
  </si>
  <si>
    <t xml:space="preserve">Build Requirements Traceability Matrix (RTM)</t>
  </si>
  <si>
    <t xml:space="preserve">Dev Team Lead, Business Analyst</t>
  </si>
  <si>
    <t xml:space="preserve">PMBOK standard. IT-owned; maintained continuously — initial 20 days, ongoing updates.</t>
  </si>
  <si>
    <t xml:space="preserve">PLN-07</t>
  </si>
  <si>
    <t xml:space="preserve">→ Design</t>
  </si>
  <si>
    <t xml:space="preserve">Develop EA-Level Architecture Models and Diagrams</t>
  </si>
  <si>
    <t xml:space="preserve">Enterprise Architecture Lead</t>
  </si>
  <si>
    <t xml:space="preserve">PLN-08</t>
  </si>
  <si>
    <t xml:space="preserve">→ Implement</t>
  </si>
  <si>
    <t xml:space="preserve">Develop Implementation Plan</t>
  </si>
  <si>
    <t xml:space="preserve">Change and Release Manager</t>
  </si>
  <si>
    <t xml:space="preserve">PMBOK transition deliverable. Pairs with Rollback Plan and Go-Live Readiness Plan.</t>
  </si>
  <si>
    <t xml:space="preserve">PLN-09</t>
  </si>
  <si>
    <t xml:space="preserve">Develop Rollback Plan</t>
  </si>
  <si>
    <t xml:space="preserve">Dev Team Lead, Change and Release Manager</t>
  </si>
  <si>
    <t xml:space="preserve">PMBOK risk-management deliverable. Gates go-live approval.</t>
  </si>
  <si>
    <t xml:space="preserve">PLN-10</t>
  </si>
  <si>
    <t xml:space="preserve">Develop OCM Training Plan &amp; Materials</t>
  </si>
  <si>
    <t xml:space="preserve">Organizational Change Manager</t>
  </si>
  <si>
    <t xml:space="preserve">PMBOK standard. Org Change Manager drives. Pairs with Transition Plan.</t>
  </si>
  <si>
    <t xml:space="preserve">PLN-11</t>
  </si>
  <si>
    <t xml:space="preserve">Develop Transition Plan</t>
  </si>
  <si>
    <t xml:space="preserve">EXE-20</t>
  </si>
  <si>
    <t xml:space="preserve">Execute</t>
  </si>
  <si>
    <t xml:space="preserve">Ongoing</t>
  </si>
  <si>
    <t xml:space="preserve">Maintain Product Backlog, Sprint Backlog, Increment &amp; Burndown Artifacts</t>
  </si>
  <si>
    <t xml:space="preserve">▶ After Plan</t>
  </si>
  <si>
    <t xml:space="preserve">EXE-21</t>
  </si>
  <si>
    <t xml:space="preserve">Produce Status Reports</t>
  </si>
  <si>
    <t xml:space="preserve">║ Parallel with EXE-19</t>
  </si>
  <si>
    <t xml:space="preserve">EXE-01</t>
  </si>
  <si>
    <t xml:space="preserve">Secure-by-Design</t>
  </si>
  <si>
    <t xml:space="preserve">Sec Analysis</t>
  </si>
  <si>
    <t xml:space="preserve">Conduct Business Impact Analysis (BIA)</t>
  </si>
  <si>
    <t xml:space="preserve">Project Manager, EDD Business Owner(s)</t>
  </si>
  <si>
    <t xml:space="preserve">ISD/ESG/BCOSS (Andrew Mock) advisory. No duration in guide — placeholder.</t>
  </si>
  <si>
    <t xml:space="preserve">EXE-02</t>
  </si>
  <si>
    <t xml:space="preserve">Conduct Detailed Privacy Impact Analysis (PIA)</t>
  </si>
  <si>
    <t xml:space="preserve">║ Parallel with EXE-01</t>
  </si>
  <si>
    <t xml:space="preserve">Guide: 30 days. CSD Privacy &amp; Disclosure (Annette Wolfgang) advisory.</t>
  </si>
  <si>
    <t xml:space="preserve">EXE-03</t>
  </si>
  <si>
    <t xml:space="preserve">Perform Risk Assessment (RA)</t>
  </si>
  <si>
    <t xml:space="preserve">CSD Security Lead</t>
  </si>
  <si>
    <t xml:space="preserve">Guide: 10–15 days; using upper bound. Legal participation required (no dedicated RACI role).</t>
  </si>
  <si>
    <t xml:space="preserve">EXE-04</t>
  </si>
  <si>
    <t xml:space="preserve">Draft System Security Plan (SSP) — Sections 1 &amp; 2</t>
  </si>
  <si>
    <t xml:space="preserve">Guide: 30–45 days non-SaaS / 20 days SaaS. Using non-SaaS upper bound.</t>
  </si>
  <si>
    <t xml:space="preserve">EXE-05</t>
  </si>
  <si>
    <t xml:space="preserve">Design</t>
  </si>
  <si>
    <t xml:space="preserve">Facilitate Cloud Review (If Applicable)</t>
  </si>
  <si>
    <t xml:space="preserve">▶ After Sec Analysis</t>
  </si>
  <si>
    <t xml:space="preserve">Dev Team Lead, Cloud Architecture Lead</t>
  </si>
  <si>
    <t xml:space="preserve">If Applicable</t>
  </si>
  <si>
    <t xml:space="preserve">EXE-06</t>
  </si>
  <si>
    <t xml:space="preserve">Facilitate TARC Preparation</t>
  </si>
  <si>
    <t xml:space="preserve">║ Parallel with EXE-05</t>
  </si>
  <si>
    <t xml:space="preserve">Dev Team Lead</t>
  </si>
  <si>
    <t xml:space="preserve">EXE-07</t>
  </si>
  <si>
    <t xml:space="preserve">Develop Solution Architecture Document (SAD)</t>
  </si>
  <si>
    <t xml:space="preserve">Enterprise Architecture Lead, Dev Team Lead</t>
  </si>
  <si>
    <t xml:space="preserve">Merged with RACI "Define the Solution Architecture" per PMI consolidation — one architecture deliverable, not two. Performed by EAO.</t>
  </si>
  <si>
    <t xml:space="preserve">EXE-08</t>
  </si>
  <si>
    <t xml:space="preserve">Review and Update SSP; Begin Section 3</t>
  </si>
  <si>
    <t xml:space="preserve">Project Manager, IT System Owner</t>
  </si>
  <si>
    <t xml:space="preserve">Guide notes no additional time beyond meetings — placeholder for control selection workshops.</t>
  </si>
  <si>
    <t xml:space="preserve">EXE-09</t>
  </si>
  <si>
    <t xml:space="preserve">Develop Information System Recovery Plan (ISRP)</t>
  </si>
  <si>
    <t xml:space="preserve">Conditional on BIA outcome (mission-critical = Yes). ISD/ESG guidance.</t>
  </si>
  <si>
    <t xml:space="preserve">EXE-10</t>
  </si>
  <si>
    <t xml:space="preserve">Initiate Security Audit Logging (SIEM)</t>
  </si>
  <si>
    <t xml:space="preserve">Guide: 1–3 months by complexity; midpoint (~45 days). Logged integratioin with Elastic.</t>
  </si>
  <si>
    <t xml:space="preserve">EXE-11</t>
  </si>
  <si>
    <t xml:space="preserve">Initiate Vulnerability Assessment (Nessus / Veracode / Prisma Cloud)</t>
  </si>
  <si>
    <t xml:space="preserve">Guide: 1–3 months by complexity; midpoint (~45 days).</t>
  </si>
  <si>
    <t xml:space="preserve">EXE-12</t>
  </si>
  <si>
    <t xml:space="preserve">Test</t>
  </si>
  <si>
    <t xml:space="preserve">Execute System Testing — Vulnerability &amp; Security Scans</t>
  </si>
  <si>
    <t xml:space="preserve">▶ After Design</t>
  </si>
  <si>
    <t xml:space="preserve">Covers CX/UX, performance, and vulnerability testing. Enterprise Testing Office leads.</t>
  </si>
  <si>
    <t xml:space="preserve">EXE-13</t>
  </si>
  <si>
    <t xml:space="preserve">Conduct Application Penetration Testing</t>
  </si>
  <si>
    <t xml:space="preserve">║ Parallel with EXE-12</t>
  </si>
  <si>
    <t xml:space="preserve">Guide sizing: Short ≤1 day, Simple ~5 days, Moderate ~10, Complex ~20+ (using Moderate).</t>
  </si>
  <si>
    <t xml:space="preserve">EXE-14</t>
  </si>
  <si>
    <t xml:space="preserve">Conduct User Acceptance Testing (UAT)</t>
  </si>
  <si>
    <t xml:space="preserve">PMBOK standard. Customer signs off. References Test Plan and RTM.</t>
  </si>
  <si>
    <t xml:space="preserve">EXE-14A</t>
  </si>
  <si>
    <t xml:space="preserve">*Obtain Cybersecurity Risk Acceptance Form</t>
  </si>
  <si>
    <t xml:space="preserve">Cyber Security Leads</t>
  </si>
  <si>
    <t xml:space="preserve">Done only if the Certification and Accreditation Package is not completed</t>
  </si>
  <si>
    <t xml:space="preserve">EXE-15</t>
  </si>
  <si>
    <t xml:space="preserve">Implement</t>
  </si>
  <si>
    <t xml:space="preserve">Obtain Security Certification &amp; Accreditation (C&amp;A) Package</t>
  </si>
  <si>
    <t xml:space="preserve">▶ After Test</t>
  </si>
  <si>
    <t xml:space="preserve">IT System Owner, CSD Security Lead</t>
  </si>
  <si>
    <t xml:space="preserve">Authorizing Officials: CIO/Director/Branch DD/CISO. Re-auth at significant change or ≥3 yrs. Risk Acceptance Form acceptable in lieu of full C&amp;A Package.</t>
  </si>
  <si>
    <t xml:space="preserve">EXE-16</t>
  </si>
  <si>
    <t xml:space="preserve">Complete LOB Release Readiness Review (RRR) Checklist Prior to RRB</t>
  </si>
  <si>
    <t xml:space="preserve">║ Parallel with EXE-15</t>
  </si>
  <si>
    <t xml:space="preserve">EXE-17</t>
  </si>
  <si>
    <t xml:space="preserve">Schedule and Present RFC for RRB Review</t>
  </si>
  <si>
    <t xml:space="preserve">EXE-18</t>
  </si>
  <si>
    <t xml:space="preserve">Implement Solution</t>
  </si>
  <si>
    <t xml:space="preserve">EXE-19</t>
  </si>
  <si>
    <t xml:space="preserve">Stabilization</t>
  </si>
  <si>
    <t xml:space="preserve">Conduct Production Stabilization &amp; Hypercare</t>
  </si>
  <si>
    <t xml:space="preserve">▶ After Implement</t>
  </si>
  <si>
    <t xml:space="preserve">Project Manager, Dev Team Lead, Transition Support Lead</t>
  </si>
  <si>
    <t xml:space="preserve">PMBOK transition deliverable. Standard PM practice; not explicitly called out in EDD RACI or Secure-by-Design guide. Pairs with Transition Plan (PLN-11).</t>
  </si>
  <si>
    <t xml:space="preserve">CLS-01</t>
  </si>
  <si>
    <t xml:space="preserve">Close</t>
  </si>
  <si>
    <t xml:space="preserve">Document Lessons Learned</t>
  </si>
  <si>
    <t xml:space="preserve">▶ After Execute</t>
  </si>
  <si>
    <t xml:space="preserve">CLS-02</t>
  </si>
  <si>
    <t xml:space="preserve">Develop Closeout Report</t>
  </si>
  <si>
    <t xml:space="preserve">║ Parallel with CLS-01</t>
  </si>
  <si>
    <t xml:space="preserve">CLS-03</t>
  </si>
  <si>
    <t xml:space="preserve">CLS-04</t>
  </si>
  <si>
    <t xml:space="preserve">PMBOK standard. Often pairs with Lessons Learned.</t>
  </si>
  <si>
    <t xml:space="preserve">PROJECT SUMMARY</t>
  </si>
  <si>
    <t xml:space="preserve">Sources: EDD PM RACI Matrix (Mar 4); EDD Secure-by-Design Cybersecurity PM Deliverables guide; PMI/PMBOK Guide. Methodology-tagged for both Waterfall and Agile delivery. Phase-parallel model. Aligned to CA-PMF; informed by SIMM §19.</t>
  </si>
  <si>
    <t xml:space="preserve">Phase Summary  (CA-PMF phases — auto-calculated from Schedule sheet)</t>
  </si>
  <si>
    <t xml:space="preserve">Phase</t>
  </si>
  <si>
    <t xml:space="preserve"># Deliverables</t>
  </si>
  <si>
    <t xml:space="preserve">Total Effort
(bus. days)</t>
  </si>
  <si>
    <t xml:space="preserve">Phase Start</t>
  </si>
  <si>
    <t xml:space="preserve">Phase End</t>
  </si>
  <si>
    <t xml:space="preserve">Notes</t>
  </si>
  <si>
    <t xml:space="preserve">Working
Days</t>
  </si>
  <si>
    <t xml:space="preserve">Calendar
Days</t>
  </si>
  <si>
    <t xml:space="preserve">RFC Proposal — gates entry to CA-PMF.</t>
  </si>
  <si>
    <t xml:space="preserve">Charter, Governance, Stakeholder Register, RACI, CRAID Log, security kick-offs.</t>
  </si>
  <si>
    <t xml:space="preserve">PMP, Schedule, Requirements Doc, RTM, Test Plan, Training Plan, Implementation/Rollback/Transition Plans, EA Models.</t>
  </si>
  <si>
    <t xml:space="preserve">Stages sequence: Sec Analysis → Design → Test → Implement. Ongoing runs throughout.</t>
  </si>
  <si>
    <t xml:space="preserve">Lessons Learned, Closeout, EA Repo, PIR.</t>
  </si>
  <si>
    <t xml:space="preserve">TOTAL EFFORT</t>
  </si>
  <si>
    <t xml:space="preserve">Effort = sum of deliverable days. Calendar span below = real schedule length.</t>
  </si>
  <si>
    <t xml:space="preserve">CALENDAR SPAN (real elapsed)</t>
  </si>
  <si>
    <t xml:space="preserve">Real project length in business days (parallel-aware).</t>
  </si>
  <si>
    <t xml:space="preserve">By Methodology</t>
  </si>
  <si>
    <t xml:space="preserve">Total Effort</t>
  </si>
  <si>
    <t xml:space="preserve">First Start</t>
  </si>
  <si>
    <t xml:space="preserve">Last End</t>
  </si>
  <si>
    <t xml:space="preserve">Agile-only artifacts (Product Backlog, Sprint Backlog). Skip these for Waterfall projects.</t>
  </si>
  <si>
    <t xml:space="preserve">Waterfall-only artifacts (formal Requirements Doc, Test Plan). Skip these for Agile projects (substitutes are in Product Backlog).</t>
  </si>
  <si>
    <t xml:space="preserve">Method-agnostic — included regardless of delivery approach.</t>
  </si>
  <si>
    <t xml:space="preserve">By Source</t>
  </si>
  <si>
    <t xml:space="preserve">EDD PM RACI Matrix — Mar 4 (25 deliverables after consolidations).</t>
  </si>
  <si>
    <t xml:space="preserve">Cybersecurity PM Deliverables guide (11 deliverables after SAD merge).</t>
  </si>
  <si>
    <t xml:space="preserve">PMI/PMBOK standards (7 deliverables: PMP, Governance, CRAID, Implementation, Rollback, Test Plan, Req Doc, RTM, UAT, Training, PIR).</t>
  </si>
  <si>
    <t xml:space="preserve">EDD Cybersecurity Support Groups &amp; Contacts</t>
  </si>
  <si>
    <t xml:space="preserve">Support Group</t>
  </si>
  <si>
    <t xml:space="preserve">Mailbox / Contact</t>
  </si>
  <si>
    <t xml:space="preserve">Scope</t>
  </si>
  <si>
    <t xml:space="preserve">ITB Enterprise Storage Services Group (ISD / ESG / BCOSS)</t>
  </si>
  <si>
    <t xml:space="preserve">edditbenterprisestorageservicesgroup@edd.ca.gov</t>
  </si>
  <si>
    <t xml:space="preserve">BIA, ISRP — Andrew Mock guidance.</t>
  </si>
  <si>
    <t xml:space="preserve">ITB CSD Privacy Oversight Team</t>
  </si>
  <si>
    <t xml:space="preserve">itbcsdprivacyoversightteam@edd.ca.gov</t>
  </si>
  <si>
    <t xml:space="preserve">PIA — Annette Wolfgang guidance.</t>
  </si>
  <si>
    <t xml:space="preserve">ITB CSD Security Risk and Integrated Risk Management Team</t>
  </si>
  <si>
    <t xml:space="preserve">itbcsdsecurityriskandintegratedriskmanagementteam@edd.ca.gov</t>
  </si>
  <si>
    <t xml:space="preserve">RA, SSP §1-2 &amp; §3, PenTesting, C&amp;A Package.</t>
  </si>
  <si>
    <t xml:space="preserve">ITB CSD Security Policy and Compliance Team</t>
  </si>
  <si>
    <t xml:space="preserve">itbcsdsecuritypolicyandcomplianceteam@edd.ca.gov</t>
  </si>
  <si>
    <t xml:space="preserve">SSP review/update, control compliance.</t>
  </si>
  <si>
    <t xml:space="preserve">ITB TGD Enterprise Architecture Office (EAO)</t>
  </si>
  <si>
    <t xml:space="preserve">edditbtgdenterprisearchitectureoffice@edd.ca.gov</t>
  </si>
  <si>
    <t xml:space="preserve">SAD review.</t>
  </si>
  <si>
    <t xml:space="preserve">Cybersecurity Operations and Fraud Group</t>
  </si>
  <si>
    <t xml:space="preserve">(Coordinate via Service Manager — Child RFC)</t>
  </si>
  <si>
    <t xml:space="preserve">SIEM integration for security/audit logs.</t>
  </si>
  <si>
    <t xml:space="preserve">Cyber Defense and Response Group (CDRG)</t>
  </si>
  <si>
    <t xml:space="preserve">cyberdefenseandresponsegroup@edd.ca.gov</t>
  </si>
  <si>
    <t xml:space="preserve">Vulnerability tooling: Nessus, Veracode, Prisma Cloud.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</si>
</sst>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0%"/>
    <numFmt numFmtId="167" formatCode="General"/>
    <numFmt numFmtId="168" formatCode="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4213D"/>
      <name val="Calibri"/>
      <family val="0"/>
      <charset val="1"/>
    </font>
    <font>
      <i val="true"/>
      <sz val="11"/>
      <color rgb="FF14213D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i val="true"/>
      <sz val="11"/>
      <color rgb="FF14213D"/>
      <name val="Calibri"/>
      <family val="0"/>
      <charset val="1"/>
    </font>
    <font>
      <b val="true"/>
      <sz val="11"/>
      <color rgb="FF323A45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023A53"/>
      <name val="Cambria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i val="true"/>
      <sz val="10"/>
      <color rgb="FF6C757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888888"/>
      <name val="Calibri"/>
      <family val="0"/>
      <charset val="1"/>
    </font>
    <font>
      <b val="true"/>
      <sz val="10"/>
      <color theme="0"/>
      <name val="Calibri"/>
      <family val="2"/>
      <charset val="1"/>
    </font>
    <font>
      <sz val="9"/>
      <color rgb="FF888888"/>
      <name val="Calibri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14213D"/>
      <name val="Calibri"/>
      <family val="0"/>
      <charset val="1"/>
    </font>
    <font>
      <b val="true"/>
      <sz val="10"/>
      <color rgb="FF14213D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  <font>
      <sz val="10"/>
      <name val="Calibri"/>
      <family val="0"/>
      <charset val="1"/>
    </font>
    <font>
      <b val="true"/>
      <sz val="9"/>
      <color rgb="FF14213D"/>
      <name val="Calibri"/>
      <family val="0"/>
      <charset val="1"/>
    </font>
    <font>
      <sz val="9"/>
      <name val="Calibri"/>
      <family val="0"/>
      <charset val="1"/>
    </font>
    <font>
      <i val="true"/>
      <sz val="9"/>
      <color rgb="FF6C757D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8B4500"/>
      <name val="Calibri"/>
      <family val="2"/>
      <charset val="1"/>
    </font>
    <font>
      <sz val="9"/>
      <color rgb="FF6C757D"/>
      <name val="Calibri"/>
      <family val="0"/>
      <charset val="1"/>
    </font>
    <font>
      <u val="single"/>
      <sz val="11"/>
      <color theme="10"/>
      <name val="Calibri"/>
      <family val="2"/>
      <charset val="1"/>
    </font>
    <font>
      <sz val="10"/>
      <color rgb="FF14213D"/>
      <name val="Calibri"/>
      <family val="0"/>
      <charset val="1"/>
    </font>
    <font>
      <sz val="10"/>
      <name val="Arial"/>
      <family val="2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4213D"/>
      <name val="Calibri"/>
      <family val="0"/>
      <charset val="1"/>
    </font>
    <font>
      <b val="true"/>
      <i val="true"/>
      <sz val="10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3B0"/>
        <bgColor rgb="FFFFEB9C"/>
      </patternFill>
    </fill>
    <fill>
      <patternFill patternType="solid">
        <fgColor rgb="FF14213D"/>
        <bgColor rgb="FF023A53"/>
      </patternFill>
    </fill>
    <fill>
      <patternFill patternType="solid">
        <fgColor rgb="FFFDF6E3"/>
        <bgColor rgb="FFF2F2F2"/>
      </patternFill>
    </fill>
    <fill>
      <patternFill patternType="solid">
        <fgColor rgb="FFFDB81E"/>
        <bgColor rgb="FFC9A227"/>
      </patternFill>
    </fill>
    <fill>
      <patternFill patternType="solid">
        <fgColor rgb="FF023A53"/>
        <bgColor rgb="FF14213D"/>
      </patternFill>
    </fill>
    <fill>
      <patternFill patternType="solid">
        <fgColor rgb="FF046B99"/>
        <bgColor rgb="FF008080"/>
      </patternFill>
    </fill>
    <fill>
      <patternFill patternType="solid">
        <fgColor rgb="FFE1F2F7"/>
        <bgColor rgb="FFE4F1F0"/>
      </patternFill>
    </fill>
    <fill>
      <patternFill patternType="solid">
        <fgColor rgb="FF1F4E78"/>
        <bgColor rgb="FF323A45"/>
      </patternFill>
    </fill>
    <fill>
      <patternFill patternType="solid">
        <fgColor rgb="FFD6E8F1"/>
        <bgColor rgb="FFDDEBF7"/>
      </patternFill>
    </fill>
    <fill>
      <patternFill patternType="solid">
        <fgColor rgb="FF9BC4D6"/>
        <bgColor rgb="FFBFBFBF"/>
      </patternFill>
    </fill>
    <fill>
      <patternFill patternType="solid">
        <fgColor theme="0"/>
        <bgColor rgb="FFFDF6E3"/>
      </patternFill>
    </fill>
    <fill>
      <patternFill patternType="solid">
        <fgColor rgb="FFFEE3A5"/>
        <bgColor rgb="FFFFEB9C"/>
      </patternFill>
    </fill>
    <fill>
      <patternFill patternType="solid">
        <fgColor rgb="FFE8F4DA"/>
        <bgColor rgb="FFE4F1F0"/>
      </patternFill>
    </fill>
    <fill>
      <patternFill patternType="solid">
        <fgColor rgb="FF3689AD"/>
        <bgColor rgb="FF2B7A78"/>
      </patternFill>
    </fill>
    <fill>
      <patternFill patternType="solid">
        <fgColor rgb="FF2B7A78"/>
        <bgColor rgb="FF3689AD"/>
      </patternFill>
    </fill>
    <fill>
      <patternFill patternType="solid">
        <fgColor rgb="FFF2F2F2"/>
        <bgColor rgb="FFE8ECF4"/>
      </patternFill>
    </fill>
    <fill>
      <patternFill patternType="solid">
        <fgColor rgb="FFE8ECF4"/>
        <bgColor rgb="FFE4F1F0"/>
      </patternFill>
    </fill>
    <fill>
      <patternFill patternType="solid">
        <fgColor rgb="FFE4F1F0"/>
        <bgColor rgb="FFE1F2F7"/>
      </patternFill>
    </fill>
    <fill>
      <patternFill patternType="solid">
        <fgColor rgb="FFC9A227"/>
        <bgColor rgb="FFFDB81E"/>
      </patternFill>
    </fill>
    <fill>
      <patternFill patternType="solid">
        <fgColor rgb="FFFCD9B5"/>
        <bgColor rgb="FFFEE3A5"/>
      </patternFill>
    </fill>
    <fill>
      <patternFill patternType="solid">
        <fgColor rgb="FFC7D2FE"/>
        <bgColor rgb="FFD9D9D9"/>
      </patternFill>
    </fill>
    <fill>
      <patternFill patternType="solid">
        <fgColor rgb="FFD1E7DD"/>
        <bgColor rgb="FFD6E8F1"/>
      </patternFill>
    </fill>
    <fill>
      <patternFill patternType="solid">
        <fgColor rgb="FFEDE7F3"/>
        <bgColor rgb="FFE8ECF4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14213D"/>
      </left>
      <right/>
      <top style="medium">
        <color rgb="FF14213D"/>
      </top>
      <bottom style="medium">
        <color rgb="FF14213D"/>
      </bottom>
      <diagonal/>
    </border>
    <border diagonalUp="false" diagonalDown="false">
      <left style="medium">
        <color rgb="FF14213D"/>
      </left>
      <right/>
      <top/>
      <bottom style="medium">
        <color rgb="FF14213D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046B99"/>
      </left>
      <right style="thin">
        <color rgb="FF046B99"/>
      </right>
      <top style="thin">
        <color rgb="FF046B99"/>
      </top>
      <bottom style="medium">
        <color rgb="FFFDB81E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>
        <color rgb="FF14213D"/>
      </left>
      <right style="medium">
        <color rgb="FF14213D"/>
      </right>
      <top style="medium">
        <color rgb="FF14213D"/>
      </top>
      <bottom style="medium">
        <color rgb="FF1421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8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5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8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1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5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2" fillId="1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8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6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1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8" fillId="17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8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1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8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8" fillId="19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1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9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3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0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2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0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2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2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1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2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3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9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4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18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1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1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ill>
        <patternFill patternType="solid">
          <fgColor rgb="FF023A53"/>
          <bgColor rgb="FF000000"/>
        </patternFill>
      </fill>
    </dxf>
    <dxf>
      <fill>
        <patternFill patternType="solid">
          <fgColor rgb="FF2B7A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C757D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046B99"/>
          <bgColor rgb="FF000000"/>
        </patternFill>
      </fill>
    </dxf>
    <dxf>
      <fill>
        <patternFill patternType="solid">
          <fgColor rgb="FF3689AD"/>
          <bgColor rgb="FF000000"/>
        </patternFill>
      </fill>
    </dxf>
    <dxf>
      <fill>
        <patternFill patternType="solid">
          <fgColor rgb="FF9BC4D6"/>
          <bgColor rgb="FF000000"/>
        </patternFill>
      </fill>
    </dxf>
    <dxf>
      <fill>
        <patternFill patternType="solid">
          <fgColor rgb="FFFDB81E"/>
          <bgColor rgb="FF000000"/>
        </patternFill>
      </fill>
    </dxf>
    <dxf>
      <fill>
        <patternFill patternType="solid">
          <fgColor rgb="FFE1F2F7"/>
          <bgColor rgb="FF000000"/>
        </patternFill>
      </fill>
    </dxf>
    <dxf>
      <fill>
        <patternFill patternType="solid">
          <fgColor rgb="FF14213D"/>
          <bgColor rgb="FF000000"/>
        </patternFill>
      </fill>
    </dxf>
    <dxf>
      <fill>
        <patternFill patternType="solid">
          <fgColor rgb="FF8B45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ont>
        <name val="Calibri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1F4E78"/>
        <sz val="10"/>
      </font>
      <fill>
        <patternFill>
          <bgColor rgb="FFDDEBF7"/>
        </patternFill>
      </fill>
    </dxf>
    <dxf>
      <font>
        <name val="Calibri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595959"/>
        <sz val="10"/>
      </font>
      <fill>
        <patternFill>
          <bgColor rgb="FFE7E6E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808080"/>
      </font>
      <fill>
        <patternFill>
          <bgColor rgb="FFD9D9D9"/>
        </patternFill>
      </fill>
    </dxf>
    <dxf>
      <font>
        <i val="1"/>
        <color rgb="FF999999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DDEBF7"/>
      <rgbColor rgb="FF9C0006"/>
      <rgbColor rgb="FF006100"/>
      <rgbColor rgb="FF000080"/>
      <rgbColor rgb="FF9C5700"/>
      <rgbColor rgb="FF800080"/>
      <rgbColor rgb="FF2B7A78"/>
      <rgbColor rgb="FFBFBFBF"/>
      <rgbColor rgb="FF808080"/>
      <rgbColor rgb="FF888888"/>
      <rgbColor rgb="FF595959"/>
      <rgbColor rgb="FFFDF6E3"/>
      <rgbColor rgb="FFE1F2F7"/>
      <rgbColor rgb="FF660066"/>
      <rgbColor rgb="FFE7E6E6"/>
      <rgbColor rgb="FF046B99"/>
      <rgbColor rgb="FFC7D2FE"/>
      <rgbColor rgb="FF000080"/>
      <rgbColor rgb="FFFF00FF"/>
      <rgbColor rgb="FFFEE3A5"/>
      <rgbColor rgb="FFE8F4DA"/>
      <rgbColor rgb="FF800080"/>
      <rgbColor rgb="FF800000"/>
      <rgbColor rgb="FF008080"/>
      <rgbColor rgb="FF0000FF"/>
      <rgbColor rgb="FFE8ECF4"/>
      <rgbColor rgb="FFE4F1F0"/>
      <rgbColor rgb="FFC6EFCE"/>
      <rgbColor rgb="FFFFF3B0"/>
      <rgbColor rgb="FF9BC4D6"/>
      <rgbColor rgb="FFFFC7CE"/>
      <rgbColor rgb="FFD9D9D9"/>
      <rgbColor rgb="FFFCD9B5"/>
      <rgbColor rgb="FFF2F2F2"/>
      <rgbColor rgb="FFD6E8F1"/>
      <rgbColor rgb="FFD1E7DD"/>
      <rgbColor rgb="FFFDB81E"/>
      <rgbColor rgb="FFC9A227"/>
      <rgbColor rgb="FFEDE7F3"/>
      <rgbColor rgb="FF6C757D"/>
      <rgbColor rgb="FF999999"/>
      <rgbColor rgb="FF023A53"/>
      <rgbColor rgb="FF3689AD"/>
      <rgbColor rgb="FF14213D"/>
      <rgbColor rgb="FF333300"/>
      <rgbColor rgb="FF8B4500"/>
      <rgbColor rgb="FF993366"/>
      <rgbColor rgb="FF1F4E78"/>
      <rgbColor rgb="FF323A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8"/>
  </cols>
  <sheetData>
    <row r="1" customFormat="false" ht="60" hidden="false" customHeight="true" outlineLevel="0" collapsed="false">
      <c r="A1" s="1" t="s">
        <v>0</v>
      </c>
      <c r="B1" s="1"/>
    </row>
    <row r="2" customFormat="false" ht="49.5" hidden="false" customHeight="true" outlineLevel="0" collapsed="false">
      <c r="A2" s="2" t="s">
        <v>1</v>
      </c>
      <c r="B2" s="2"/>
    </row>
    <row r="4" customFormat="false" ht="25.5" hidden="false" customHeight="true" outlineLevel="0" collapsed="false">
      <c r="B4" s="3" t="s">
        <v>2</v>
      </c>
    </row>
    <row r="5" customFormat="false" ht="21.75" hidden="false" customHeight="true" outlineLevel="0" collapsed="false">
      <c r="B5" s="4" t="s">
        <v>3</v>
      </c>
    </row>
    <row r="6" customFormat="false" ht="21.75" hidden="false" customHeight="true" outlineLevel="0" collapsed="false">
      <c r="B6" s="4" t="s">
        <v>4</v>
      </c>
    </row>
    <row r="7" customFormat="false" ht="21.75" hidden="false" customHeight="true" outlineLevel="0" collapsed="false">
      <c r="B7" s="4" t="s">
        <v>5</v>
      </c>
    </row>
    <row r="8" customFormat="false" ht="21.75" hidden="false" customHeight="true" outlineLevel="0" collapsed="false">
      <c r="B8" s="4" t="s">
        <v>6</v>
      </c>
    </row>
    <row r="10" customFormat="false" ht="25.5" hidden="false" customHeight="true" outlineLevel="0" collapsed="false">
      <c r="B10" s="3" t="s">
        <v>7</v>
      </c>
    </row>
    <row r="11" customFormat="false" ht="21.75" hidden="false" customHeight="true" outlineLevel="0" collapsed="false">
      <c r="B11" s="4" t="s">
        <v>8</v>
      </c>
    </row>
    <row r="12" customFormat="false" ht="21.75" hidden="false" customHeight="true" outlineLevel="0" collapsed="false">
      <c r="B12" s="4" t="s">
        <v>9</v>
      </c>
    </row>
    <row r="13" customFormat="false" ht="21.75" hidden="false" customHeight="true" outlineLevel="0" collapsed="false">
      <c r="B13" s="4" t="s">
        <v>10</v>
      </c>
    </row>
    <row r="14" customFormat="false" ht="21.75" hidden="false" customHeight="true" outlineLevel="0" collapsed="false">
      <c r="B14" s="4" t="s">
        <v>11</v>
      </c>
    </row>
    <row r="16" customFormat="false" ht="25.5" hidden="false" customHeight="true" outlineLevel="0" collapsed="false">
      <c r="B16" s="3" t="s">
        <v>12</v>
      </c>
    </row>
    <row r="17" customFormat="false" ht="21.75" hidden="false" customHeight="true" outlineLevel="0" collapsed="false">
      <c r="B17" s="4" t="s">
        <v>13</v>
      </c>
    </row>
    <row r="18" customFormat="false" ht="21.75" hidden="false" customHeight="true" outlineLevel="0" collapsed="false">
      <c r="B18" s="4" t="s">
        <v>14</v>
      </c>
    </row>
    <row r="19" customFormat="false" ht="21.75" hidden="false" customHeight="true" outlineLevel="0" collapsed="false">
      <c r="B19" s="4" t="s">
        <v>15</v>
      </c>
    </row>
    <row r="20" customFormat="false" ht="21.75" hidden="false" customHeight="true" outlineLevel="0" collapsed="false">
      <c r="B20" s="4" t="s">
        <v>16</v>
      </c>
    </row>
    <row r="21" customFormat="false" ht="21.75" hidden="false" customHeight="true" outlineLevel="0" collapsed="false">
      <c r="B21" s="4"/>
    </row>
    <row r="22" customFormat="false" ht="21.75" hidden="false" customHeight="true" outlineLevel="0" collapsed="false">
      <c r="B22" s="4" t="s">
        <v>17</v>
      </c>
    </row>
    <row r="23" customFormat="false" ht="21.75" hidden="false" customHeight="true" outlineLevel="0" collapsed="false">
      <c r="B23" s="4" t="s">
        <v>18</v>
      </c>
    </row>
    <row r="24" customFormat="false" ht="21.75" hidden="false" customHeight="true" outlineLevel="0" collapsed="false">
      <c r="B24" s="4" t="s">
        <v>19</v>
      </c>
    </row>
    <row r="26" customFormat="false" ht="25.5" hidden="false" customHeight="true" outlineLevel="0" collapsed="false">
      <c r="B26" s="3" t="s">
        <v>20</v>
      </c>
    </row>
    <row r="27" customFormat="false" ht="21.75" hidden="false" customHeight="true" outlineLevel="0" collapsed="false">
      <c r="B27" s="4" t="s">
        <v>21</v>
      </c>
    </row>
    <row r="28" customFormat="false" ht="21.75" hidden="false" customHeight="true" outlineLevel="0" collapsed="false">
      <c r="B28" s="4" t="s">
        <v>22</v>
      </c>
    </row>
    <row r="29" customFormat="false" ht="21.75" hidden="false" customHeight="true" outlineLevel="0" collapsed="false">
      <c r="B29" s="4" t="s">
        <v>23</v>
      </c>
    </row>
    <row r="30" customFormat="false" ht="21.75" hidden="false" customHeight="true" outlineLevel="0" collapsed="false">
      <c r="B30" s="4" t="s">
        <v>24</v>
      </c>
    </row>
    <row r="31" customFormat="false" ht="21.75" hidden="false" customHeight="true" outlineLevel="0" collapsed="false">
      <c r="B31" s="4" t="s">
        <v>25</v>
      </c>
    </row>
    <row r="32" customFormat="false" ht="21.75" hidden="false" customHeight="true" outlineLevel="0" collapsed="false">
      <c r="B32" s="4" t="s">
        <v>26</v>
      </c>
    </row>
    <row r="33" customFormat="false" ht="21.75" hidden="false" customHeight="true" outlineLevel="0" collapsed="false">
      <c r="B33" s="4" t="s">
        <v>27</v>
      </c>
    </row>
    <row r="35" customFormat="false" ht="25.5" hidden="false" customHeight="true" outlineLevel="0" collapsed="false">
      <c r="B35" s="3" t="s">
        <v>28</v>
      </c>
    </row>
    <row r="36" customFormat="false" ht="21.75" hidden="false" customHeight="true" outlineLevel="0" collapsed="false">
      <c r="B36" s="4" t="s">
        <v>29</v>
      </c>
    </row>
    <row r="37" customFormat="false" ht="21.75" hidden="false" customHeight="true" outlineLevel="0" collapsed="false">
      <c r="B37" s="4" t="s">
        <v>30</v>
      </c>
    </row>
    <row r="38" customFormat="false" ht="21.75" hidden="false" customHeight="true" outlineLevel="0" collapsed="false">
      <c r="B38" s="4" t="s">
        <v>31</v>
      </c>
    </row>
    <row r="39" customFormat="false" ht="21.75" hidden="false" customHeight="true" outlineLevel="0" collapsed="false">
      <c r="B39" s="4" t="s">
        <v>32</v>
      </c>
    </row>
    <row r="40" customFormat="false" ht="21.75" hidden="false" customHeight="true" outlineLevel="0" collapsed="false">
      <c r="B40" s="4" t="s">
        <v>33</v>
      </c>
    </row>
    <row r="41" customFormat="false" ht="21.75" hidden="false" customHeight="true" outlineLevel="0" collapsed="false">
      <c r="B41" s="4" t="s">
        <v>34</v>
      </c>
    </row>
    <row r="42" customFormat="false" ht="21.75" hidden="false" customHeight="true" outlineLevel="0" collapsed="false">
      <c r="B42" s="4" t="s">
        <v>35</v>
      </c>
    </row>
    <row r="43" customFormat="false" ht="21.75" hidden="false" customHeight="true" outlineLevel="0" collapsed="false">
      <c r="B43" s="4" t="s">
        <v>36</v>
      </c>
    </row>
    <row r="44" customFormat="false" ht="21.75" hidden="false" customHeight="true" outlineLevel="0" collapsed="false">
      <c r="B44" s="4" t="s">
        <v>37</v>
      </c>
    </row>
    <row r="45" customFormat="false" ht="21.75" hidden="false" customHeight="true" outlineLevel="0" collapsed="false">
      <c r="B45" s="4" t="s">
        <v>38</v>
      </c>
    </row>
    <row r="46" customFormat="false" ht="21.75" hidden="false" customHeight="true" outlineLevel="0" collapsed="false">
      <c r="B46" s="4" t="s">
        <v>39</v>
      </c>
    </row>
    <row r="47" customFormat="false" ht="21.75" hidden="false" customHeight="true" outlineLevel="0" collapsed="false">
      <c r="B47" s="4" t="s">
        <v>40</v>
      </c>
    </row>
    <row r="49" customFormat="false" ht="25.5" hidden="false" customHeight="true" outlineLevel="0" collapsed="false">
      <c r="B49" s="3" t="s">
        <v>41</v>
      </c>
    </row>
    <row r="50" customFormat="false" ht="21.75" hidden="false" customHeight="true" outlineLevel="0" collapsed="false">
      <c r="B50" s="4" t="s">
        <v>42</v>
      </c>
    </row>
    <row r="51" customFormat="false" ht="21.75" hidden="false" customHeight="true" outlineLevel="0" collapsed="false">
      <c r="B51" s="4" t="s">
        <v>43</v>
      </c>
    </row>
    <row r="53" customFormat="false" ht="25.5" hidden="false" customHeight="true" outlineLevel="0" collapsed="false">
      <c r="B53" s="3" t="s">
        <v>44</v>
      </c>
    </row>
    <row r="54" customFormat="false" ht="21.75" hidden="false" customHeight="true" outlineLevel="0" collapsed="false">
      <c r="B54" s="4" t="s">
        <v>45</v>
      </c>
    </row>
    <row r="55" customFormat="false" ht="21.75" hidden="false" customHeight="true" outlineLevel="0" collapsed="false">
      <c r="B55" s="4" t="s">
        <v>46</v>
      </c>
    </row>
    <row r="56" customFormat="false" ht="21.75" hidden="false" customHeight="true" outlineLevel="0" collapsed="false">
      <c r="B56" s="4" t="s">
        <v>47</v>
      </c>
    </row>
    <row r="57" customFormat="false" ht="21.75" hidden="false" customHeight="true" outlineLevel="0" collapsed="false">
      <c r="B57" s="4" t="s">
        <v>48</v>
      </c>
    </row>
    <row r="58" customFormat="false" ht="21.75" hidden="false" customHeight="true" outlineLevel="0" collapsed="false">
      <c r="B58" s="4" t="s">
        <v>49</v>
      </c>
    </row>
    <row r="60" customFormat="false" ht="25.5" hidden="false" customHeight="true" outlineLevel="0" collapsed="false">
      <c r="B60" s="3" t="s">
        <v>50</v>
      </c>
    </row>
    <row r="61" customFormat="false" ht="21.75" hidden="false" customHeight="true" outlineLevel="0" collapsed="false">
      <c r="B61" s="4" t="s">
        <v>51</v>
      </c>
    </row>
    <row r="62" customFormat="false" ht="21.75" hidden="false" customHeight="true" outlineLevel="0" collapsed="false">
      <c r="B62" s="4" t="s">
        <v>52</v>
      </c>
    </row>
    <row r="63" customFormat="false" ht="21.75" hidden="false" customHeight="true" outlineLevel="0" collapsed="false">
      <c r="B63" s="4" t="s">
        <v>53</v>
      </c>
    </row>
    <row r="64" customFormat="false" ht="21.75" hidden="false" customHeight="true" outlineLevel="0" collapsed="false">
      <c r="B64" s="4" t="s">
        <v>54</v>
      </c>
    </row>
    <row r="65" customFormat="false" ht="21.75" hidden="false" customHeight="true" outlineLevel="0" collapsed="false">
      <c r="B65" s="4" t="s">
        <v>55</v>
      </c>
    </row>
    <row r="67" customFormat="false" ht="25.5" hidden="false" customHeight="true" outlineLevel="0" collapsed="false">
      <c r="B67" s="3" t="s">
        <v>56</v>
      </c>
    </row>
    <row r="68" customFormat="false" ht="21.75" hidden="false" customHeight="true" outlineLevel="0" collapsed="false">
      <c r="B68" s="4" t="s">
        <v>57</v>
      </c>
    </row>
    <row r="69" customFormat="false" ht="21.75" hidden="false" customHeight="true" outlineLevel="0" collapsed="false">
      <c r="B69" s="4" t="s">
        <v>58</v>
      </c>
    </row>
    <row r="70" customFormat="false" ht="21.75" hidden="false" customHeight="true" outlineLevel="0" collapsed="false">
      <c r="B70" s="4" t="s">
        <v>59</v>
      </c>
    </row>
    <row r="71" customFormat="false" ht="21.75" hidden="false" customHeight="true" outlineLevel="0" collapsed="false">
      <c r="B71" s="4" t="s">
        <v>60</v>
      </c>
    </row>
    <row r="73" customFormat="false" ht="25.5" hidden="false" customHeight="true" outlineLevel="0" collapsed="false">
      <c r="B73" s="3" t="s">
        <v>61</v>
      </c>
    </row>
    <row r="74" customFormat="false" ht="21.75" hidden="false" customHeight="true" outlineLevel="0" collapsed="false">
      <c r="B74" s="4" t="s">
        <v>62</v>
      </c>
    </row>
    <row r="75" customFormat="false" ht="21.75" hidden="false" customHeight="true" outlineLevel="0" collapsed="false">
      <c r="B75" s="4" t="s">
        <v>63</v>
      </c>
    </row>
    <row r="76" customFormat="false" ht="21.75" hidden="false" customHeight="true" outlineLevel="0" collapsed="false">
      <c r="B76" s="4" t="s">
        <v>64</v>
      </c>
    </row>
    <row r="77" customFormat="false" ht="21.75" hidden="false" customHeight="true" outlineLevel="0" collapsed="false">
      <c r="B77" s="4" t="s">
        <v>65</v>
      </c>
    </row>
    <row r="80" customFormat="false" ht="30" hidden="false" customHeight="true" outlineLevel="0" collapsed="false">
      <c r="A80" s="5" t="s">
        <v>66</v>
      </c>
      <c r="B80" s="5"/>
    </row>
  </sheetData>
  <mergeCells count="3">
    <mergeCell ref="A1:B1"/>
    <mergeCell ref="A2:B2"/>
    <mergeCell ref="A80:B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60"/>
  <sheetViews>
    <sheetView showFormulas="false" showGridLines="false" showRowColHeaders="true" showZeros="true" rightToLeft="false" tabSelected="true" showOutlineSymbols="true" defaultGridColor="true" view="normal" topLeftCell="A1" colorId="64" zoomScale="73" zoomScaleNormal="73" zoomScalePageLayoutView="100" workbookViewId="0">
      <pane xSplit="2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U1" activeCellId="0" sqref="U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4.67"/>
    <col collapsed="false" customWidth="true" hidden="false" outlineLevel="0" max="2" min="2" style="0" width="16"/>
    <col collapsed="false" customWidth="true" hidden="false" outlineLevel="0" max="3" min="3" style="0" width="13.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36"/>
    <col collapsed="false" customWidth="true" hidden="false" outlineLevel="0" max="11" min="10" style="0" width="11"/>
    <col collapsed="false" customWidth="true" hidden="false" outlineLevel="0" max="12" min="12" style="0" width="26"/>
    <col collapsed="false" customWidth="true" hidden="false" outlineLevel="0" max="13" min="13" style="0" width="16.89"/>
    <col collapsed="false" customWidth="true" hidden="false" outlineLevel="0" max="14" min="14" style="0" width="15.78"/>
    <col collapsed="false" customWidth="true" hidden="false" outlineLevel="0" max="15" min="15" style="0" width="28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false" outlineLevel="0" max="18" min="18" style="0" width="22"/>
    <col collapsed="false" customWidth="true" hidden="false" outlineLevel="0" max="19" min="19" style="0" width="34"/>
    <col collapsed="false" customWidth="true" hidden="false" outlineLevel="0" max="20" min="20" style="0" width="36.88"/>
    <col collapsed="false" customWidth="true" hidden="true" outlineLevel="0" max="21" min="21" style="0" width="7"/>
  </cols>
  <sheetData>
    <row r="1" customFormat="false" ht="36" hidden="false" customHeight="true" outlineLevel="0" collapsed="false">
      <c r="A1" s="6" t="s">
        <v>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customFormat="false" ht="33.75" hidden="false" customHeight="true" outlineLevel="0" collapsed="false">
      <c r="A2" s="7" t="s">
        <v>68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4" customFormat="false" ht="19.5" hidden="false" customHeight="true" outlineLevel="0" collapsed="false">
      <c r="A4" s="8" t="s">
        <v>69</v>
      </c>
      <c r="B4" s="8"/>
      <c r="C4" s="8"/>
      <c r="D4" s="8"/>
      <c r="E4" s="8"/>
      <c r="F4" s="8"/>
      <c r="G4" s="9" t="s">
        <v>70</v>
      </c>
      <c r="H4" s="9"/>
      <c r="I4" s="9"/>
      <c r="J4" s="9"/>
      <c r="K4" s="9"/>
      <c r="L4" s="9"/>
    </row>
    <row r="5" customFormat="false" ht="19.5" hidden="false" customHeight="true" outlineLevel="0" collapsed="false">
      <c r="A5" s="8" t="s">
        <v>71</v>
      </c>
      <c r="B5" s="8"/>
      <c r="C5" s="8"/>
      <c r="D5" s="8"/>
      <c r="E5" s="8"/>
      <c r="F5" s="8"/>
      <c r="G5" s="9" t="s">
        <v>72</v>
      </c>
      <c r="H5" s="9"/>
      <c r="I5" s="9"/>
      <c r="J5" s="9"/>
      <c r="K5" s="9"/>
      <c r="L5" s="9"/>
    </row>
    <row r="6" customFormat="false" ht="19.5" hidden="false" customHeight="true" outlineLevel="0" collapsed="false">
      <c r="A6" s="8" t="s">
        <v>73</v>
      </c>
      <c r="B6" s="8"/>
      <c r="C6" s="8"/>
      <c r="D6" s="8"/>
      <c r="E6" s="8"/>
      <c r="F6" s="8"/>
      <c r="G6" s="10" t="n">
        <v>46204</v>
      </c>
      <c r="H6" s="10"/>
      <c r="I6" s="10"/>
      <c r="J6" s="10"/>
      <c r="K6" s="10"/>
      <c r="L6" s="10"/>
    </row>
    <row r="7" customFormat="false" ht="19.5" hidden="false" customHeight="true" outlineLevel="0" collapsed="false">
      <c r="A7" s="11" t="s">
        <v>74</v>
      </c>
      <c r="B7" s="11"/>
      <c r="C7" s="11"/>
      <c r="D7" s="11"/>
      <c r="E7" s="11"/>
      <c r="F7" s="11"/>
      <c r="G7" s="12" t="str">
        <f aca="false">IF(COUNT(N12:N59)&gt;0,TEXT(MAX(N12:N59),"m/d/yyyy")&amp;" (actual)",TEXT(MAX(L12:L59),"m/d/yyyy")&amp;" (planned)")</f>
        <v>7/21/2027 (planned)</v>
      </c>
      <c r="H7" s="12"/>
      <c r="I7" s="12"/>
      <c r="J7" s="12"/>
      <c r="K7" s="12"/>
      <c r="L7" s="12"/>
    </row>
    <row r="8" customFormat="false" ht="19.5" hidden="false" customHeight="true" outlineLevel="0" collapsed="false">
      <c r="A8" s="8" t="s">
        <v>75</v>
      </c>
      <c r="B8" s="8"/>
      <c r="C8" s="8"/>
      <c r="D8" s="8"/>
      <c r="E8" s="8"/>
      <c r="F8" s="8"/>
      <c r="G8" s="10" t="n">
        <f aca="true">TODAY()</f>
        <v>46190</v>
      </c>
      <c r="H8" s="10"/>
      <c r="I8" s="10"/>
      <c r="J8" s="10"/>
      <c r="K8" s="10"/>
      <c r="L8" s="10"/>
    </row>
    <row r="9" customFormat="false" ht="15" hidden="false" customHeight="true" outlineLevel="0" collapsed="false">
      <c r="A9" s="11" t="s">
        <v>76</v>
      </c>
      <c r="B9" s="11"/>
      <c r="C9" s="11"/>
      <c r="D9" s="11"/>
      <c r="E9" s="11"/>
      <c r="F9" s="11"/>
      <c r="G9" s="10" t="s">
        <v>77</v>
      </c>
      <c r="H9" s="10"/>
      <c r="I9" s="10"/>
      <c r="J9" s="10"/>
      <c r="K9" s="10"/>
      <c r="L9" s="10"/>
      <c r="P9" s="13"/>
      <c r="Q9" s="14"/>
    </row>
    <row r="10" customFormat="false" ht="21.75" hidden="false" customHeight="true" outlineLevel="0" collapsed="false">
      <c r="A10" s="15" t="s">
        <v>78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customFormat="false" ht="31.5" hidden="false" customHeight="true" outlineLevel="0" collapsed="false">
      <c r="A11" s="16" t="s">
        <v>79</v>
      </c>
      <c r="B11" s="17" t="s">
        <v>80</v>
      </c>
      <c r="C11" s="16" t="s">
        <v>81</v>
      </c>
      <c r="D11" s="16" t="s">
        <v>82</v>
      </c>
      <c r="E11" s="16" t="s">
        <v>83</v>
      </c>
      <c r="F11" s="16" t="s">
        <v>84</v>
      </c>
      <c r="G11" s="16" t="s">
        <v>85</v>
      </c>
      <c r="H11" s="16" t="s">
        <v>86</v>
      </c>
      <c r="I11" s="16" t="s">
        <v>87</v>
      </c>
      <c r="J11" s="16" t="s">
        <v>88</v>
      </c>
      <c r="K11" s="16" t="s">
        <v>89</v>
      </c>
      <c r="L11" s="16" t="s">
        <v>90</v>
      </c>
      <c r="M11" s="16" t="s">
        <v>91</v>
      </c>
      <c r="N11" s="16" t="s">
        <v>92</v>
      </c>
      <c r="O11" s="16" t="s">
        <v>93</v>
      </c>
      <c r="P11" s="16" t="s">
        <v>94</v>
      </c>
      <c r="Q11" s="16" t="s">
        <v>95</v>
      </c>
      <c r="R11" s="16" t="s">
        <v>96</v>
      </c>
      <c r="S11" s="16" t="s">
        <v>97</v>
      </c>
      <c r="T11" s="16" t="s">
        <v>98</v>
      </c>
      <c r="U11" s="18" t="s">
        <v>99</v>
      </c>
    </row>
    <row r="12" customFormat="false" ht="27.75" hidden="false" customHeight="true" outlineLevel="0" collapsed="false">
      <c r="A12" s="19" t="s">
        <v>100</v>
      </c>
      <c r="B12" s="20" t="s">
        <v>101</v>
      </c>
      <c r="C12" s="21" t="s">
        <v>102</v>
      </c>
      <c r="D12" s="22" t="s">
        <v>103</v>
      </c>
      <c r="E12" s="23" t="s">
        <v>104</v>
      </c>
      <c r="F12" s="24" t="s">
        <v>105</v>
      </c>
      <c r="G12" s="25" t="s">
        <v>106</v>
      </c>
      <c r="H12" s="26" t="s">
        <v>105</v>
      </c>
      <c r="I12" s="27" t="s">
        <v>107</v>
      </c>
      <c r="J12" s="28" t="n">
        <v>1</v>
      </c>
      <c r="K12" s="29" t="n">
        <f aca="false">$G$6</f>
        <v>46204</v>
      </c>
      <c r="L12" s="29" t="n">
        <f aca="false">WORKDAY(K12,J12-1)</f>
        <v>46204</v>
      </c>
      <c r="M12" s="30"/>
      <c r="N12" s="30"/>
      <c r="O12" s="31" t="s">
        <v>108</v>
      </c>
      <c r="P12" s="32" t="s">
        <v>109</v>
      </c>
      <c r="Q12" s="28" t="s">
        <v>110</v>
      </c>
      <c r="R12" s="33" t="n">
        <v>0</v>
      </c>
      <c r="S12" s="34"/>
      <c r="T12" s="35"/>
      <c r="U12" s="20" t="str">
        <f aca="false">IF(AND(OR($E12="Both",$E12=$G$9,$E12="None",$G$9="Hybrid",$G$9=""),OR($R$5="All",$R$5="",$C12=$R$5),OR($R$6="All deliverables",$R$6="",$B12="Yes")),"Show","Hide")</f>
        <v>Show</v>
      </c>
    </row>
    <row r="13" customFormat="false" ht="27.75" hidden="false" customHeight="true" outlineLevel="0" collapsed="false">
      <c r="A13" s="36" t="s">
        <v>111</v>
      </c>
      <c r="B13" s="20" t="s">
        <v>101</v>
      </c>
      <c r="C13" s="21" t="s">
        <v>102</v>
      </c>
      <c r="D13" s="22" t="s">
        <v>103</v>
      </c>
      <c r="E13" s="23" t="s">
        <v>104</v>
      </c>
      <c r="F13" s="37" t="s">
        <v>112</v>
      </c>
      <c r="G13" s="38" t="s">
        <v>106</v>
      </c>
      <c r="H13" s="39" t="s">
        <v>113</v>
      </c>
      <c r="I13" s="40" t="s">
        <v>114</v>
      </c>
      <c r="J13" s="41" t="n">
        <v>10</v>
      </c>
      <c r="K13" s="29" t="n">
        <f aca="false">WORKDAY(MAX(L12:L12),1)</f>
        <v>46205</v>
      </c>
      <c r="L13" s="29" t="n">
        <f aca="false">WORKDAY(K13,J13-1)</f>
        <v>46218</v>
      </c>
      <c r="M13" s="30"/>
      <c r="N13" s="30"/>
      <c r="O13" s="42" t="s">
        <v>115</v>
      </c>
      <c r="P13" s="43" t="s">
        <v>116</v>
      </c>
      <c r="Q13" s="41" t="s">
        <v>110</v>
      </c>
      <c r="R13" s="44" t="n">
        <v>0</v>
      </c>
      <c r="S13" s="45"/>
      <c r="T13" s="45"/>
      <c r="U13" s="20" t="str">
        <f aca="false">IF(AND(OR($E13="Both",$E13=$G$9,$E13="None",$G$9="Hybrid",$G$9=""),OR($R$5="All",$R$5="",$C13=$R$5),OR($R$6="All deliverables",$R$6="",$B13="Yes")),"Show","Hide")</f>
        <v>Show</v>
      </c>
    </row>
    <row r="14" customFormat="false" ht="27.75" hidden="false" customHeight="true" outlineLevel="0" collapsed="false">
      <c r="A14" s="46" t="s">
        <v>117</v>
      </c>
      <c r="B14" s="20" t="s">
        <v>101</v>
      </c>
      <c r="C14" s="21" t="s">
        <v>102</v>
      </c>
      <c r="D14" s="47" t="s">
        <v>118</v>
      </c>
      <c r="E14" s="23" t="s">
        <v>104</v>
      </c>
      <c r="F14" s="24" t="s">
        <v>112</v>
      </c>
      <c r="G14" s="25" t="s">
        <v>106</v>
      </c>
      <c r="H14" s="48" t="s">
        <v>113</v>
      </c>
      <c r="I14" s="27" t="s">
        <v>119</v>
      </c>
      <c r="J14" s="28" t="n">
        <v>10</v>
      </c>
      <c r="K14" s="29" t="n">
        <f aca="false">K13</f>
        <v>46205</v>
      </c>
      <c r="L14" s="29" t="n">
        <f aca="false">WORKDAY(K14,J14-1)</f>
        <v>46218</v>
      </c>
      <c r="M14" s="30"/>
      <c r="N14" s="30"/>
      <c r="O14" s="49" t="s">
        <v>120</v>
      </c>
      <c r="P14" s="32" t="s">
        <v>121</v>
      </c>
      <c r="Q14" s="28" t="s">
        <v>110</v>
      </c>
      <c r="R14" s="33" t="n">
        <v>0</v>
      </c>
      <c r="S14" s="35" t="s">
        <v>122</v>
      </c>
      <c r="T14" s="35"/>
      <c r="U14" s="20" t="str">
        <f aca="false">IF(AND(OR($E14="Both",$E14=$G$9,$E14="None",$G$9="Hybrid",$G$9=""),OR($R$5="All",$R$5="",$C14=$R$5),OR($R$6="All deliverables",$R$6="",$B14="Yes")),"Show","Hide")</f>
        <v>Show</v>
      </c>
    </row>
    <row r="15" customFormat="false" ht="27.75" hidden="false" customHeight="true" outlineLevel="0" collapsed="false">
      <c r="A15" s="36" t="s">
        <v>123</v>
      </c>
      <c r="B15" s="20" t="s">
        <v>101</v>
      </c>
      <c r="C15" s="21" t="s">
        <v>102</v>
      </c>
      <c r="D15" s="22" t="s">
        <v>103</v>
      </c>
      <c r="E15" s="23" t="s">
        <v>104</v>
      </c>
      <c r="F15" s="37" t="s">
        <v>112</v>
      </c>
      <c r="G15" s="38" t="s">
        <v>106</v>
      </c>
      <c r="H15" s="39" t="s">
        <v>113</v>
      </c>
      <c r="I15" s="40" t="s">
        <v>124</v>
      </c>
      <c r="J15" s="41" t="n">
        <v>5</v>
      </c>
      <c r="K15" s="29" t="n">
        <f aca="false">K13</f>
        <v>46205</v>
      </c>
      <c r="L15" s="29" t="n">
        <f aca="false">WORKDAY(K15,J15-1)</f>
        <v>46211</v>
      </c>
      <c r="M15" s="30"/>
      <c r="N15" s="30"/>
      <c r="O15" s="50" t="s">
        <v>120</v>
      </c>
      <c r="P15" s="43" t="s">
        <v>116</v>
      </c>
      <c r="Q15" s="41" t="s">
        <v>110</v>
      </c>
      <c r="R15" s="44" t="n">
        <v>0</v>
      </c>
      <c r="S15" s="45"/>
      <c r="T15" s="45"/>
      <c r="U15" s="20" t="str">
        <f aca="false">IF(AND(OR($E15="Both",$E15=$G$9,$E15="None",$G$9="Hybrid",$G$9=""),OR($R$5="All",$R$5="",$C15=$R$5),OR($R$6="All deliverables",$R$6="",$B15="Yes")),"Show","Hide")</f>
        <v>Show</v>
      </c>
    </row>
    <row r="16" customFormat="false" ht="27.75" hidden="false" customHeight="true" outlineLevel="0" collapsed="false">
      <c r="A16" s="46" t="s">
        <v>125</v>
      </c>
      <c r="B16" s="20" t="s">
        <v>101</v>
      </c>
      <c r="C16" s="21" t="s">
        <v>102</v>
      </c>
      <c r="D16" s="22" t="s">
        <v>103</v>
      </c>
      <c r="E16" s="23" t="s">
        <v>104</v>
      </c>
      <c r="F16" s="24" t="s">
        <v>112</v>
      </c>
      <c r="G16" s="25" t="s">
        <v>106</v>
      </c>
      <c r="H16" s="26" t="s">
        <v>112</v>
      </c>
      <c r="I16" s="51" t="s">
        <v>126</v>
      </c>
      <c r="J16" s="28" t="n">
        <v>5</v>
      </c>
      <c r="K16" s="29" t="n">
        <f aca="false">K13</f>
        <v>46205</v>
      </c>
      <c r="L16" s="29" t="n">
        <f aca="false">WORKDAY(K16,J16-1)</f>
        <v>46211</v>
      </c>
      <c r="M16" s="30"/>
      <c r="N16" s="30"/>
      <c r="O16" s="49" t="s">
        <v>120</v>
      </c>
      <c r="P16" s="32" t="s">
        <v>116</v>
      </c>
      <c r="Q16" s="28" t="s">
        <v>110</v>
      </c>
      <c r="R16" s="33" t="n">
        <v>0</v>
      </c>
      <c r="S16" s="35"/>
      <c r="T16" s="35"/>
      <c r="U16" s="20" t="str">
        <f aca="false">IF(AND(OR($E16="Both",$E16=$G$9,$E16="None",$G$9="Hybrid",$G$9=""),OR($R$5="All",$R$5="",$C16=$R$5),OR($R$6="All deliverables",$R$6="",$B16="Yes")),"Show","Hide")</f>
        <v>Show</v>
      </c>
    </row>
    <row r="17" customFormat="false" ht="27.75" hidden="false" customHeight="true" outlineLevel="0" collapsed="false">
      <c r="A17" s="36" t="s">
        <v>127</v>
      </c>
      <c r="B17" s="20" t="s">
        <v>101</v>
      </c>
      <c r="C17" s="21" t="s">
        <v>102</v>
      </c>
      <c r="D17" s="47" t="s">
        <v>118</v>
      </c>
      <c r="E17" s="23" t="s">
        <v>104</v>
      </c>
      <c r="F17" s="37" t="s">
        <v>112</v>
      </c>
      <c r="G17" s="38" t="s">
        <v>106</v>
      </c>
      <c r="H17" s="39" t="s">
        <v>113</v>
      </c>
      <c r="I17" s="40" t="s">
        <v>128</v>
      </c>
      <c r="J17" s="41" t="n">
        <v>5</v>
      </c>
      <c r="K17" s="29" t="n">
        <f aca="false">K13</f>
        <v>46205</v>
      </c>
      <c r="L17" s="29" t="n">
        <f aca="false">WORKDAY(K16,J16-1)</f>
        <v>46211</v>
      </c>
      <c r="M17" s="30"/>
      <c r="N17" s="30"/>
      <c r="O17" s="50" t="s">
        <v>120</v>
      </c>
      <c r="P17" s="43" t="s">
        <v>121</v>
      </c>
      <c r="Q17" s="41" t="s">
        <v>110</v>
      </c>
      <c r="R17" s="44" t="n">
        <v>0</v>
      </c>
      <c r="S17" s="45" t="s">
        <v>129</v>
      </c>
      <c r="T17" s="45"/>
      <c r="U17" s="20" t="str">
        <f aca="false">IF(AND(OR($E17="Both",$E17=$G$9,$E17="None",$G$9="Hybrid",$G$9=""),OR($R$5="All",$R$5="",$C17=$R$5),OR($R$6="All deliverables",$R$6="",$B17="Yes")),"Show","Hide")</f>
        <v>Show</v>
      </c>
    </row>
    <row r="18" customFormat="false" ht="27.75" hidden="false" customHeight="true" outlineLevel="0" collapsed="false">
      <c r="A18" s="46" t="s">
        <v>130</v>
      </c>
      <c r="B18" s="20" t="s">
        <v>101</v>
      </c>
      <c r="C18" s="52" t="s">
        <v>131</v>
      </c>
      <c r="D18" s="22" t="s">
        <v>103</v>
      </c>
      <c r="E18" s="23" t="s">
        <v>104</v>
      </c>
      <c r="F18" s="24" t="s">
        <v>112</v>
      </c>
      <c r="G18" s="25" t="s">
        <v>106</v>
      </c>
      <c r="H18" s="48" t="s">
        <v>113</v>
      </c>
      <c r="I18" s="51" t="s">
        <v>132</v>
      </c>
      <c r="J18" s="28" t="n">
        <v>5</v>
      </c>
      <c r="K18" s="29" t="n">
        <f aca="false">K13</f>
        <v>46205</v>
      </c>
      <c r="L18" s="29" t="n">
        <f aca="false">WORKDAY(K17,J17-1)</f>
        <v>46211</v>
      </c>
      <c r="M18" s="30"/>
      <c r="N18" s="30"/>
      <c r="O18" s="49" t="s">
        <v>120</v>
      </c>
      <c r="P18" s="32" t="s">
        <v>133</v>
      </c>
      <c r="Q18" s="28" t="s">
        <v>110</v>
      </c>
      <c r="R18" s="33" t="n">
        <v>0</v>
      </c>
      <c r="S18" s="53" t="s">
        <v>134</v>
      </c>
      <c r="T18" s="35"/>
      <c r="U18" s="20" t="str">
        <f aca="false">IF(AND(OR($E18="Both",$E18=$G$9,$E18="None",$G$9="Hybrid",$G$9=""),OR($R$5="All",$R$5="",$C18=$R$5),OR($R$6="All deliverables",$R$6="",$B18="Yes")),"Show","Hide")</f>
        <v>Show</v>
      </c>
    </row>
    <row r="19" customFormat="false" ht="27.75" hidden="false" customHeight="true" outlineLevel="0" collapsed="false">
      <c r="A19" s="36" t="s">
        <v>135</v>
      </c>
      <c r="B19" s="20" t="s">
        <v>101</v>
      </c>
      <c r="C19" s="21" t="s">
        <v>102</v>
      </c>
      <c r="D19" s="22" t="s">
        <v>103</v>
      </c>
      <c r="E19" s="23" t="s">
        <v>104</v>
      </c>
      <c r="F19" s="37" t="s">
        <v>112</v>
      </c>
      <c r="G19" s="38" t="s">
        <v>106</v>
      </c>
      <c r="H19" s="39" t="s">
        <v>113</v>
      </c>
      <c r="I19" s="40" t="s">
        <v>136</v>
      </c>
      <c r="J19" s="41" t="n">
        <v>10</v>
      </c>
      <c r="K19" s="29" t="n">
        <f aca="false">K13</f>
        <v>46205</v>
      </c>
      <c r="L19" s="29" t="n">
        <f aca="false">WORKDAY(K18,J18-1)</f>
        <v>46211</v>
      </c>
      <c r="M19" s="30"/>
      <c r="N19" s="30"/>
      <c r="O19" s="50" t="s">
        <v>120</v>
      </c>
      <c r="P19" s="43" t="s">
        <v>133</v>
      </c>
      <c r="Q19" s="41" t="s">
        <v>110</v>
      </c>
      <c r="R19" s="44" t="n">
        <v>0</v>
      </c>
      <c r="S19" s="45"/>
      <c r="T19" s="45"/>
      <c r="U19" s="20" t="str">
        <f aca="false">IF(AND(OR($E19="Both",$E19=$G$9,$E19="None",$G$9="Hybrid",$G$9=""),OR($R$5="All",$R$5="",$C19=$R$5),OR($R$6="All deliverables",$R$6="",$B19="Yes")),"Show","Hide")</f>
        <v>Show</v>
      </c>
    </row>
    <row r="20" customFormat="false" ht="27.75" hidden="false" customHeight="true" outlineLevel="0" collapsed="false">
      <c r="A20" s="46" t="s">
        <v>137</v>
      </c>
      <c r="B20" s="20" t="s">
        <v>101</v>
      </c>
      <c r="C20" s="21" t="s">
        <v>102</v>
      </c>
      <c r="D20" s="22" t="s">
        <v>103</v>
      </c>
      <c r="E20" s="23" t="s">
        <v>104</v>
      </c>
      <c r="F20" s="24" t="s">
        <v>112</v>
      </c>
      <c r="G20" s="25" t="s">
        <v>106</v>
      </c>
      <c r="H20" s="26" t="s">
        <v>112</v>
      </c>
      <c r="I20" s="51" t="s">
        <v>138</v>
      </c>
      <c r="J20" s="28" t="n">
        <v>5</v>
      </c>
      <c r="K20" s="29" t="n">
        <f aca="false">K13</f>
        <v>46205</v>
      </c>
      <c r="L20" s="29" t="n">
        <f aca="false">WORKDAY(K19,J19-1)</f>
        <v>46218</v>
      </c>
      <c r="M20" s="30"/>
      <c r="N20" s="30"/>
      <c r="O20" s="49" t="s">
        <v>120</v>
      </c>
      <c r="P20" s="32" t="s">
        <v>121</v>
      </c>
      <c r="Q20" s="28" t="s">
        <v>110</v>
      </c>
      <c r="R20" s="33" t="n">
        <v>0</v>
      </c>
      <c r="S20" s="35"/>
      <c r="T20" s="35"/>
      <c r="U20" s="20" t="str">
        <f aca="false">IF(AND(OR($E20="Both",$E20=$G$9,$E20="None",$G$9="Hybrid",$G$9=""),OR($R$5="All",$R$5="",$C20=$R$5),OR($R$6="All deliverables",$R$6="",$B20="Yes")),"Show","Hide")</f>
        <v>Show</v>
      </c>
    </row>
    <row r="21" customFormat="false" ht="27.75" hidden="false" customHeight="true" outlineLevel="0" collapsed="false">
      <c r="A21" s="36" t="s">
        <v>139</v>
      </c>
      <c r="B21" s="20" t="s">
        <v>101</v>
      </c>
      <c r="C21" s="21" t="s">
        <v>102</v>
      </c>
      <c r="D21" s="47" t="s">
        <v>118</v>
      </c>
      <c r="E21" s="23" t="s">
        <v>104</v>
      </c>
      <c r="F21" s="37" t="s">
        <v>140</v>
      </c>
      <c r="G21" s="38" t="s">
        <v>106</v>
      </c>
      <c r="H21" s="39" t="s">
        <v>113</v>
      </c>
      <c r="I21" s="40" t="s">
        <v>141</v>
      </c>
      <c r="J21" s="41" t="n">
        <v>30</v>
      </c>
      <c r="K21" s="29" t="n">
        <f aca="false">WORKDAY(MAX(L13:L19),1)</f>
        <v>46219</v>
      </c>
      <c r="L21" s="29" t="n">
        <f aca="false">WORKDAY(K20,J20-1)</f>
        <v>46211</v>
      </c>
      <c r="M21" s="30"/>
      <c r="N21" s="30"/>
      <c r="O21" s="42" t="s">
        <v>142</v>
      </c>
      <c r="P21" s="43" t="s">
        <v>121</v>
      </c>
      <c r="Q21" s="41" t="s">
        <v>110</v>
      </c>
      <c r="R21" s="44" t="n">
        <v>0</v>
      </c>
      <c r="S21" s="45" t="s">
        <v>143</v>
      </c>
      <c r="T21" s="45"/>
      <c r="U21" s="20" t="str">
        <f aca="false">IF(AND(OR($E21="Both",$E21=$G$9,$E21="None",$G$9="Hybrid",$G$9=""),OR($R$5="All",$R$5="",$C21=$R$5),OR($R$6="All deliverables",$R$6="",$B21="Yes")),"Show","Hide")</f>
        <v>Show</v>
      </c>
    </row>
    <row r="22" customFormat="false" ht="27.75" hidden="false" customHeight="true" outlineLevel="0" collapsed="false">
      <c r="A22" s="46" t="s">
        <v>144</v>
      </c>
      <c r="B22" s="20" t="s">
        <v>101</v>
      </c>
      <c r="C22" s="21" t="s">
        <v>102</v>
      </c>
      <c r="D22" s="22" t="s">
        <v>103</v>
      </c>
      <c r="E22" s="23" t="s">
        <v>104</v>
      </c>
      <c r="F22" s="24" t="s">
        <v>140</v>
      </c>
      <c r="G22" s="25" t="s">
        <v>106</v>
      </c>
      <c r="H22" s="48" t="s">
        <v>113</v>
      </c>
      <c r="I22" s="51" t="s">
        <v>145</v>
      </c>
      <c r="J22" s="28" t="n">
        <v>10</v>
      </c>
      <c r="K22" s="29" t="n">
        <f aca="false">K20</f>
        <v>46205</v>
      </c>
      <c r="L22" s="29" t="n">
        <f aca="false">WORKDAY(K21,J21-1)</f>
        <v>46260</v>
      </c>
      <c r="M22" s="30"/>
      <c r="N22" s="30"/>
      <c r="O22" s="49" t="s">
        <v>146</v>
      </c>
      <c r="P22" s="32" t="s">
        <v>121</v>
      </c>
      <c r="Q22" s="28" t="s">
        <v>110</v>
      </c>
      <c r="R22" s="33" t="n">
        <v>0</v>
      </c>
      <c r="S22" s="35"/>
      <c r="T22" s="35"/>
      <c r="U22" s="20" t="str">
        <f aca="false">IF(AND(OR($E22="Both",$E22=$G$9,$E22="None",$G$9="Hybrid",$G$9=""),OR($R$5="All",$R$5="",$C22=$R$5),OR($R$6="All deliverables",$R$6="",$B22="Yes")),"Show","Hide")</f>
        <v>Show</v>
      </c>
    </row>
    <row r="23" customFormat="false" ht="27.75" hidden="false" customHeight="true" outlineLevel="0" collapsed="false">
      <c r="A23" s="36" t="s">
        <v>147</v>
      </c>
      <c r="B23" s="20" t="s">
        <v>101</v>
      </c>
      <c r="C23" s="54" t="s">
        <v>131</v>
      </c>
      <c r="D23" s="22" t="s">
        <v>103</v>
      </c>
      <c r="E23" s="55" t="s">
        <v>148</v>
      </c>
      <c r="F23" s="37" t="s">
        <v>140</v>
      </c>
      <c r="G23" s="38" t="s">
        <v>106</v>
      </c>
      <c r="H23" s="39" t="s">
        <v>113</v>
      </c>
      <c r="I23" s="40" t="s">
        <v>149</v>
      </c>
      <c r="J23" s="41" t="n">
        <v>10</v>
      </c>
      <c r="K23" s="29" t="n">
        <f aca="false">K20</f>
        <v>46205</v>
      </c>
      <c r="L23" s="29" t="n">
        <f aca="false">WORKDAY(K22,J22-1)</f>
        <v>46218</v>
      </c>
      <c r="M23" s="30"/>
      <c r="N23" s="30"/>
      <c r="O23" s="50" t="s">
        <v>146</v>
      </c>
      <c r="P23" s="43" t="s">
        <v>150</v>
      </c>
      <c r="Q23" s="41" t="s">
        <v>110</v>
      </c>
      <c r="R23" s="44" t="n">
        <v>0</v>
      </c>
      <c r="S23" s="45"/>
      <c r="T23" s="45"/>
      <c r="U23" s="20" t="str">
        <f aca="false">IF(AND(OR($E23="Both",$E23=$G$9,$E23="None",$G$9="Hybrid",$G$9=""),OR($R$5="All",$R$5="",$C23=$R$5),OR($R$6="All deliverables",$R$6="",$B23="Yes")),"Show","Hide")</f>
        <v>Hide</v>
      </c>
    </row>
    <row r="24" customFormat="false" ht="27.75" hidden="false" customHeight="true" outlineLevel="0" collapsed="false">
      <c r="A24" s="46" t="s">
        <v>151</v>
      </c>
      <c r="B24" s="20" t="s">
        <v>101</v>
      </c>
      <c r="C24" s="52" t="s">
        <v>131</v>
      </c>
      <c r="D24" s="47" t="s">
        <v>118</v>
      </c>
      <c r="E24" s="22" t="s">
        <v>77</v>
      </c>
      <c r="F24" s="24" t="s">
        <v>140</v>
      </c>
      <c r="G24" s="25" t="s">
        <v>106</v>
      </c>
      <c r="H24" s="48" t="s">
        <v>152</v>
      </c>
      <c r="I24" s="51" t="s">
        <v>153</v>
      </c>
      <c r="J24" s="28" t="n">
        <v>30</v>
      </c>
      <c r="K24" s="29" t="n">
        <f aca="false">K20</f>
        <v>46205</v>
      </c>
      <c r="L24" s="29" t="n">
        <f aca="false">WORKDAY(K23,J23-1)</f>
        <v>46218</v>
      </c>
      <c r="M24" s="30"/>
      <c r="N24" s="30"/>
      <c r="O24" s="49" t="s">
        <v>146</v>
      </c>
      <c r="P24" s="32" t="s">
        <v>154</v>
      </c>
      <c r="Q24" s="28" t="s">
        <v>110</v>
      </c>
      <c r="R24" s="33" t="n">
        <v>0</v>
      </c>
      <c r="S24" s="35" t="s">
        <v>155</v>
      </c>
      <c r="T24" s="35"/>
      <c r="U24" s="20" t="str">
        <f aca="false">IF(AND(OR($E24="Both",$E24=$G$9,$E24="None",$G$9="Hybrid",$G$9=""),OR($R$5="All",$R$5="",$C24=$R$5),OR($R$6="All deliverables",$R$6="",$B24="Yes")),"Show","Hide")</f>
        <v>Show</v>
      </c>
    </row>
    <row r="25" customFormat="false" ht="27.75" hidden="false" customHeight="true" outlineLevel="0" collapsed="false">
      <c r="A25" s="36" t="s">
        <v>156</v>
      </c>
      <c r="B25" s="20" t="s">
        <v>101</v>
      </c>
      <c r="C25" s="52" t="s">
        <v>131</v>
      </c>
      <c r="D25" s="47" t="s">
        <v>118</v>
      </c>
      <c r="E25" s="22" t="s">
        <v>77</v>
      </c>
      <c r="F25" s="37" t="s">
        <v>140</v>
      </c>
      <c r="G25" s="38" t="s">
        <v>106</v>
      </c>
      <c r="H25" s="39" t="s">
        <v>157</v>
      </c>
      <c r="I25" s="40" t="s">
        <v>158</v>
      </c>
      <c r="J25" s="41" t="n">
        <v>10</v>
      </c>
      <c r="K25" s="29" t="n">
        <f aca="false">K20</f>
        <v>46205</v>
      </c>
      <c r="L25" s="29" t="n">
        <f aca="false">WORKDAY(K24,J24-1)</f>
        <v>46246</v>
      </c>
      <c r="M25" s="30"/>
      <c r="N25" s="30"/>
      <c r="O25" s="50" t="s">
        <v>146</v>
      </c>
      <c r="P25" s="43" t="s">
        <v>159</v>
      </c>
      <c r="Q25" s="41" t="s">
        <v>110</v>
      </c>
      <c r="R25" s="44" t="n">
        <v>0</v>
      </c>
      <c r="S25" s="45" t="s">
        <v>160</v>
      </c>
      <c r="T25" s="45"/>
      <c r="U25" s="20" t="str">
        <f aca="false">IF(AND(OR($E25="Both",$E25=$G$9,$E25="None",$G$9="Hybrid",$G$9=""),OR($R$5="All",$R$5="",$C25=$R$5),OR($R$6="All deliverables",$R$6="",$B25="Yes")),"Show","Hide")</f>
        <v>Show</v>
      </c>
    </row>
    <row r="26" customFormat="false" ht="27.75" hidden="false" customHeight="true" outlineLevel="0" collapsed="false">
      <c r="A26" s="46" t="s">
        <v>161</v>
      </c>
      <c r="B26" s="20" t="s">
        <v>101</v>
      </c>
      <c r="C26" s="52" t="s">
        <v>131</v>
      </c>
      <c r="D26" s="47" t="s">
        <v>118</v>
      </c>
      <c r="E26" s="23" t="s">
        <v>104</v>
      </c>
      <c r="F26" s="24" t="s">
        <v>140</v>
      </c>
      <c r="G26" s="25" t="s">
        <v>106</v>
      </c>
      <c r="H26" s="48" t="s">
        <v>157</v>
      </c>
      <c r="I26" s="51" t="s">
        <v>162</v>
      </c>
      <c r="J26" s="28" t="n">
        <v>20</v>
      </c>
      <c r="K26" s="29" t="n">
        <f aca="false">K20</f>
        <v>46205</v>
      </c>
      <c r="L26" s="29" t="n">
        <f aca="false">WORKDAY(K25,J25-1)</f>
        <v>46218</v>
      </c>
      <c r="M26" s="30"/>
      <c r="N26" s="30"/>
      <c r="O26" s="49" t="s">
        <v>146</v>
      </c>
      <c r="P26" s="32" t="s">
        <v>163</v>
      </c>
      <c r="Q26" s="28" t="s">
        <v>110</v>
      </c>
      <c r="R26" s="33" t="n">
        <v>0</v>
      </c>
      <c r="S26" s="35" t="s">
        <v>164</v>
      </c>
      <c r="T26" s="35"/>
      <c r="U26" s="20" t="str">
        <f aca="false">IF(AND(OR($E26="Both",$E26=$G$9,$E26="None",$G$9="Hybrid",$G$9=""),OR($R$5="All",$R$5="",$C26=$R$5),OR($R$6="All deliverables",$R$6="",$B26="Yes")),"Show","Hide")</f>
        <v>Show</v>
      </c>
    </row>
    <row r="27" customFormat="false" ht="27.75" hidden="false" customHeight="true" outlineLevel="0" collapsed="false">
      <c r="A27" s="36" t="s">
        <v>165</v>
      </c>
      <c r="B27" s="20" t="s">
        <v>101</v>
      </c>
      <c r="C27" s="52" t="s">
        <v>131</v>
      </c>
      <c r="D27" s="22" t="s">
        <v>103</v>
      </c>
      <c r="E27" s="23" t="s">
        <v>104</v>
      </c>
      <c r="F27" s="37" t="s">
        <v>140</v>
      </c>
      <c r="G27" s="38" t="s">
        <v>106</v>
      </c>
      <c r="H27" s="39" t="s">
        <v>166</v>
      </c>
      <c r="I27" s="40" t="s">
        <v>167</v>
      </c>
      <c r="J27" s="41" t="n">
        <v>15</v>
      </c>
      <c r="K27" s="29" t="n">
        <f aca="false">K20</f>
        <v>46205</v>
      </c>
      <c r="L27" s="29" t="n">
        <f aca="false">WORKDAY(K26,J26-1)</f>
        <v>46232</v>
      </c>
      <c r="M27" s="30"/>
      <c r="N27" s="30"/>
      <c r="O27" s="50" t="s">
        <v>146</v>
      </c>
      <c r="P27" s="43" t="s">
        <v>168</v>
      </c>
      <c r="Q27" s="41" t="s">
        <v>110</v>
      </c>
      <c r="R27" s="44" t="n">
        <v>0</v>
      </c>
      <c r="S27" s="45"/>
      <c r="T27" s="45"/>
      <c r="U27" s="20" t="str">
        <f aca="false">IF(AND(OR($E27="Both",$E27=$G$9,$E27="None",$G$9="Hybrid",$G$9=""),OR($R$5="All",$R$5="",$C27=$R$5),OR($R$6="All deliverables",$R$6="",$B27="Yes")),"Show","Hide")</f>
        <v>Show</v>
      </c>
    </row>
    <row r="28" customFormat="false" ht="27.75" hidden="false" customHeight="true" outlineLevel="0" collapsed="false">
      <c r="A28" s="46" t="s">
        <v>169</v>
      </c>
      <c r="B28" s="20" t="s">
        <v>101</v>
      </c>
      <c r="C28" s="21" t="s">
        <v>102</v>
      </c>
      <c r="D28" s="47" t="s">
        <v>118</v>
      </c>
      <c r="E28" s="23" t="s">
        <v>104</v>
      </c>
      <c r="F28" s="24" t="s">
        <v>140</v>
      </c>
      <c r="G28" s="25" t="s">
        <v>106</v>
      </c>
      <c r="H28" s="48" t="s">
        <v>170</v>
      </c>
      <c r="I28" s="51" t="s">
        <v>171</v>
      </c>
      <c r="J28" s="28" t="n">
        <v>15</v>
      </c>
      <c r="K28" s="29" t="n">
        <f aca="false">K20</f>
        <v>46205</v>
      </c>
      <c r="L28" s="29" t="n">
        <f aca="false">WORKDAY(K27,J27-1)</f>
        <v>46225</v>
      </c>
      <c r="M28" s="30"/>
      <c r="N28" s="30"/>
      <c r="O28" s="49" t="s">
        <v>146</v>
      </c>
      <c r="P28" s="32" t="s">
        <v>172</v>
      </c>
      <c r="Q28" s="28" t="s">
        <v>110</v>
      </c>
      <c r="R28" s="33" t="n">
        <v>0</v>
      </c>
      <c r="S28" s="35" t="s">
        <v>173</v>
      </c>
      <c r="T28" s="35"/>
      <c r="U28" s="20" t="str">
        <f aca="false">IF(AND(OR($E28="Both",$E28=$G$9,$E28="None",$G$9="Hybrid",$G$9=""),OR($R$5="All",$R$5="",$C28=$R$5),OR($R$6="All deliverables",$R$6="",$B28="Yes")),"Show","Hide")</f>
        <v>Show</v>
      </c>
    </row>
    <row r="29" customFormat="false" ht="27.75" hidden="false" customHeight="true" outlineLevel="0" collapsed="false">
      <c r="A29" s="36" t="s">
        <v>174</v>
      </c>
      <c r="B29" s="20" t="s">
        <v>101</v>
      </c>
      <c r="C29" s="21" t="s">
        <v>102</v>
      </c>
      <c r="D29" s="47" t="s">
        <v>118</v>
      </c>
      <c r="E29" s="23" t="s">
        <v>104</v>
      </c>
      <c r="F29" s="37" t="s">
        <v>140</v>
      </c>
      <c r="G29" s="38" t="s">
        <v>106</v>
      </c>
      <c r="H29" s="39" t="s">
        <v>170</v>
      </c>
      <c r="I29" s="40" t="s">
        <v>175</v>
      </c>
      <c r="J29" s="41" t="n">
        <v>10</v>
      </c>
      <c r="K29" s="29" t="n">
        <f aca="false">K20</f>
        <v>46205</v>
      </c>
      <c r="L29" s="29" t="n">
        <f aca="false">WORKDAY(K28,J28-1)</f>
        <v>46225</v>
      </c>
      <c r="M29" s="30"/>
      <c r="N29" s="30"/>
      <c r="O29" s="50" t="s">
        <v>146</v>
      </c>
      <c r="P29" s="43" t="s">
        <v>176</v>
      </c>
      <c r="Q29" s="41" t="s">
        <v>110</v>
      </c>
      <c r="R29" s="44" t="n">
        <v>0</v>
      </c>
      <c r="S29" s="45" t="s">
        <v>177</v>
      </c>
      <c r="T29" s="45"/>
      <c r="U29" s="20" t="str">
        <f aca="false">IF(AND(OR($E29="Both",$E29=$G$9,$E29="None",$G$9="Hybrid",$G$9=""),OR($R$5="All",$R$5="",$C29=$R$5),OR($R$6="All deliverables",$R$6="",$B29="Yes")),"Show","Hide")</f>
        <v>Show</v>
      </c>
    </row>
    <row r="30" customFormat="false" ht="27.75" hidden="false" customHeight="true" outlineLevel="0" collapsed="false">
      <c r="A30" s="46" t="s">
        <v>178</v>
      </c>
      <c r="B30" s="20" t="s">
        <v>101</v>
      </c>
      <c r="C30" s="52" t="s">
        <v>131</v>
      </c>
      <c r="D30" s="47" t="s">
        <v>118</v>
      </c>
      <c r="E30" s="23" t="s">
        <v>104</v>
      </c>
      <c r="F30" s="24" t="s">
        <v>140</v>
      </c>
      <c r="G30" s="25" t="s">
        <v>106</v>
      </c>
      <c r="H30" s="48" t="s">
        <v>170</v>
      </c>
      <c r="I30" s="51" t="s">
        <v>179</v>
      </c>
      <c r="J30" s="28" t="n">
        <v>20</v>
      </c>
      <c r="K30" s="29" t="n">
        <f aca="false">K20</f>
        <v>46205</v>
      </c>
      <c r="L30" s="29" t="n">
        <f aca="false">WORKDAY(K29,J29-1)</f>
        <v>46218</v>
      </c>
      <c r="M30" s="30"/>
      <c r="N30" s="30"/>
      <c r="O30" s="49" t="s">
        <v>146</v>
      </c>
      <c r="P30" s="32" t="s">
        <v>180</v>
      </c>
      <c r="Q30" s="28" t="s">
        <v>110</v>
      </c>
      <c r="R30" s="33" t="n">
        <v>0</v>
      </c>
      <c r="S30" s="35" t="s">
        <v>181</v>
      </c>
      <c r="T30" s="35"/>
      <c r="U30" s="20" t="str">
        <f aca="false">IF(AND(OR($E30="Both",$E30=$G$9,$E30="None",$G$9="Hybrid",$G$9=""),OR($R$5="All",$R$5="",$C30=$R$5),OR($R$6="All deliverables",$R$6="",$B30="Yes")),"Show","Hide")</f>
        <v>Show</v>
      </c>
    </row>
    <row r="31" customFormat="false" ht="27.75" hidden="false" customHeight="true" outlineLevel="0" collapsed="false">
      <c r="A31" s="36" t="s">
        <v>182</v>
      </c>
      <c r="B31" s="20" t="s">
        <v>101</v>
      </c>
      <c r="C31" s="21" t="s">
        <v>102</v>
      </c>
      <c r="D31" s="22" t="s">
        <v>103</v>
      </c>
      <c r="E31" s="23" t="s">
        <v>104</v>
      </c>
      <c r="F31" s="37" t="s">
        <v>140</v>
      </c>
      <c r="G31" s="38" t="s">
        <v>106</v>
      </c>
      <c r="H31" s="39" t="s">
        <v>170</v>
      </c>
      <c r="I31" s="40" t="s">
        <v>183</v>
      </c>
      <c r="J31" s="41" t="n">
        <v>10</v>
      </c>
      <c r="K31" s="29" t="n">
        <f aca="false">K20</f>
        <v>46205</v>
      </c>
      <c r="L31" s="29" t="n">
        <f aca="false">WORKDAY(K30,J30-1)</f>
        <v>46232</v>
      </c>
      <c r="M31" s="30"/>
      <c r="N31" s="30"/>
      <c r="O31" s="50" t="s">
        <v>146</v>
      </c>
      <c r="P31" s="43" t="s">
        <v>121</v>
      </c>
      <c r="Q31" s="41" t="s">
        <v>110</v>
      </c>
      <c r="R31" s="44" t="n">
        <v>0</v>
      </c>
      <c r="S31" s="45"/>
      <c r="T31" s="45"/>
      <c r="U31" s="20" t="str">
        <f aca="false">IF(AND(OR($E31="Both",$E31=$G$9,$E31="None",$G$9="Hybrid",$G$9=""),OR($R$5="All",$R$5="",$C31=$R$5),OR($R$6="All deliverables",$R$6="",$B31="Yes")),"Show","Hide")</f>
        <v>Show</v>
      </c>
    </row>
    <row r="32" customFormat="false" ht="27.75" hidden="false" customHeight="true" outlineLevel="0" collapsed="false">
      <c r="A32" s="46" t="s">
        <v>184</v>
      </c>
      <c r="B32" s="20" t="s">
        <v>101</v>
      </c>
      <c r="C32" s="54" t="s">
        <v>131</v>
      </c>
      <c r="D32" s="22" t="s">
        <v>103</v>
      </c>
      <c r="E32" s="55" t="s">
        <v>148</v>
      </c>
      <c r="F32" s="24" t="s">
        <v>185</v>
      </c>
      <c r="G32" s="56" t="s">
        <v>186</v>
      </c>
      <c r="H32" s="48" t="s">
        <v>113</v>
      </c>
      <c r="I32" s="51" t="s">
        <v>187</v>
      </c>
      <c r="J32" s="28" t="n">
        <v>160</v>
      </c>
      <c r="K32" s="29" t="n">
        <f aca="false">WORKDAY(MAX(L20:L30),1)</f>
        <v>46261</v>
      </c>
      <c r="L32" s="29" t="n">
        <f aca="false">WORKDAY(K31,J31-1)</f>
        <v>46218</v>
      </c>
      <c r="M32" s="30"/>
      <c r="N32" s="30"/>
      <c r="O32" s="31" t="s">
        <v>188</v>
      </c>
      <c r="P32" s="32" t="s">
        <v>150</v>
      </c>
      <c r="Q32" s="28" t="s">
        <v>110</v>
      </c>
      <c r="R32" s="33" t="n">
        <v>0</v>
      </c>
      <c r="S32" s="35"/>
      <c r="T32" s="35"/>
      <c r="U32" s="20" t="str">
        <f aca="false">IF(AND(OR($E32="Both",$E32=$G$9,$E32="None",$G$9="Hybrid",$G$9=""),OR($R$5="All",$R$5="",$C32=$R$5),OR($R$6="All deliverables",$R$6="",$B32="Yes")),"Show","Hide")</f>
        <v>Hide</v>
      </c>
    </row>
    <row r="33" customFormat="false" ht="27.75" hidden="false" customHeight="true" outlineLevel="0" collapsed="false">
      <c r="A33" s="36" t="s">
        <v>189</v>
      </c>
      <c r="B33" s="20" t="s">
        <v>101</v>
      </c>
      <c r="C33" s="21" t="s">
        <v>102</v>
      </c>
      <c r="D33" s="22" t="s">
        <v>103</v>
      </c>
      <c r="E33" s="23" t="s">
        <v>104</v>
      </c>
      <c r="F33" s="37" t="s">
        <v>185</v>
      </c>
      <c r="G33" s="57" t="s">
        <v>186</v>
      </c>
      <c r="H33" s="39" t="s">
        <v>113</v>
      </c>
      <c r="I33" s="40" t="s">
        <v>190</v>
      </c>
      <c r="J33" s="41" t="n">
        <v>160</v>
      </c>
      <c r="K33" s="29" t="n">
        <f aca="false">K31</f>
        <v>46205</v>
      </c>
      <c r="L33" s="29" t="n">
        <f aca="false">WORKDAY(K32,J32-1)</f>
        <v>46484</v>
      </c>
      <c r="M33" s="30"/>
      <c r="N33" s="30"/>
      <c r="O33" s="50" t="s">
        <v>191</v>
      </c>
      <c r="P33" s="43" t="s">
        <v>121</v>
      </c>
      <c r="Q33" s="41" t="s">
        <v>110</v>
      </c>
      <c r="R33" s="44" t="n">
        <v>0</v>
      </c>
      <c r="S33" s="45"/>
      <c r="T33" s="45"/>
      <c r="U33" s="20" t="str">
        <f aca="false">IF(AND(OR($E33="Both",$E33=$G$9,$E33="None",$G$9="Hybrid",$G$9=""),OR($R$5="All",$R$5="",$C33=$R$5),OR($R$6="All deliverables",$R$6="",$B33="Yes")),"Show","Hide")</f>
        <v>Show</v>
      </c>
    </row>
    <row r="34" customFormat="false" ht="27.75" hidden="false" customHeight="true" outlineLevel="0" collapsed="false">
      <c r="A34" s="46" t="s">
        <v>192</v>
      </c>
      <c r="B34" s="20" t="s">
        <v>101</v>
      </c>
      <c r="C34" s="21" t="s">
        <v>102</v>
      </c>
      <c r="D34" s="58" t="s">
        <v>193</v>
      </c>
      <c r="E34" s="23" t="s">
        <v>104</v>
      </c>
      <c r="F34" s="24" t="s">
        <v>185</v>
      </c>
      <c r="G34" s="56" t="s">
        <v>194</v>
      </c>
      <c r="H34" s="26" t="s">
        <v>194</v>
      </c>
      <c r="I34" s="51" t="s">
        <v>195</v>
      </c>
      <c r="J34" s="28" t="n">
        <v>10</v>
      </c>
      <c r="K34" s="29" t="n">
        <f aca="false">WORKDAY(MAX(L20:L30),1)</f>
        <v>46261</v>
      </c>
      <c r="L34" s="29" t="n">
        <f aca="false">WORKDAY(K33,J33-1)</f>
        <v>46428</v>
      </c>
      <c r="M34" s="30"/>
      <c r="N34" s="30"/>
      <c r="O34" s="31" t="s">
        <v>188</v>
      </c>
      <c r="P34" s="32" t="s">
        <v>196</v>
      </c>
      <c r="Q34" s="28" t="s">
        <v>110</v>
      </c>
      <c r="R34" s="33" t="n">
        <v>0</v>
      </c>
      <c r="S34" s="35" t="s">
        <v>197</v>
      </c>
      <c r="T34" s="35"/>
      <c r="U34" s="20" t="str">
        <f aca="false">IF(AND(OR($E34="Both",$E34=$G$9,$E34="None",$G$9="Hybrid",$G$9=""),OR($R$5="All",$R$5="",$C34=$R$5),OR($R$6="All deliverables",$R$6="",$B34="Yes")),"Show","Hide")</f>
        <v>Show</v>
      </c>
    </row>
    <row r="35" customFormat="false" ht="27.75" hidden="false" customHeight="true" outlineLevel="0" collapsed="false">
      <c r="A35" s="36" t="s">
        <v>198</v>
      </c>
      <c r="B35" s="20" t="s">
        <v>101</v>
      </c>
      <c r="C35" s="52" t="s">
        <v>131</v>
      </c>
      <c r="D35" s="58" t="s">
        <v>193</v>
      </c>
      <c r="E35" s="23" t="s">
        <v>104</v>
      </c>
      <c r="F35" s="37" t="s">
        <v>185</v>
      </c>
      <c r="G35" s="57" t="s">
        <v>194</v>
      </c>
      <c r="H35" s="59" t="s">
        <v>194</v>
      </c>
      <c r="I35" s="40" t="s">
        <v>199</v>
      </c>
      <c r="J35" s="41" t="n">
        <v>30</v>
      </c>
      <c r="K35" s="29" t="n">
        <f aca="false">K33</f>
        <v>46205</v>
      </c>
      <c r="L35" s="29" t="n">
        <f aca="false">WORKDAY(K34,J34-1)</f>
        <v>46274</v>
      </c>
      <c r="M35" s="30"/>
      <c r="N35" s="30"/>
      <c r="O35" s="50" t="s">
        <v>200</v>
      </c>
      <c r="P35" s="43" t="s">
        <v>133</v>
      </c>
      <c r="Q35" s="41" t="s">
        <v>110</v>
      </c>
      <c r="R35" s="44" t="n">
        <v>0</v>
      </c>
      <c r="S35" s="45" t="s">
        <v>201</v>
      </c>
      <c r="T35" s="45"/>
      <c r="U35" s="20" t="str">
        <f aca="false">IF(AND(OR($E35="Both",$E35=$G$9,$E35="None",$G$9="Hybrid",$G$9=""),OR($R$5="All",$R$5="",$C35=$R$5),OR($R$6="All deliverables",$R$6="",$B35="Yes")),"Show","Hide")</f>
        <v>Show</v>
      </c>
    </row>
    <row r="36" customFormat="false" ht="27.75" hidden="false" customHeight="true" outlineLevel="0" collapsed="false">
      <c r="A36" s="46" t="s">
        <v>202</v>
      </c>
      <c r="B36" s="20" t="s">
        <v>101</v>
      </c>
      <c r="C36" s="21" t="s">
        <v>102</v>
      </c>
      <c r="D36" s="58" t="s">
        <v>193</v>
      </c>
      <c r="E36" s="23" t="s">
        <v>104</v>
      </c>
      <c r="F36" s="24" t="s">
        <v>185</v>
      </c>
      <c r="G36" s="56" t="s">
        <v>194</v>
      </c>
      <c r="H36" s="26" t="s">
        <v>194</v>
      </c>
      <c r="I36" s="51" t="s">
        <v>203</v>
      </c>
      <c r="J36" s="28" t="n">
        <v>15</v>
      </c>
      <c r="K36" s="29" t="n">
        <f aca="false">K33</f>
        <v>46205</v>
      </c>
      <c r="L36" s="29" t="n">
        <f aca="false">WORKDAY(K35,J35-1)</f>
        <v>46246</v>
      </c>
      <c r="M36" s="30"/>
      <c r="N36" s="30"/>
      <c r="O36" s="49" t="s">
        <v>200</v>
      </c>
      <c r="P36" s="32" t="s">
        <v>204</v>
      </c>
      <c r="Q36" s="28" t="s">
        <v>110</v>
      </c>
      <c r="R36" s="33" t="n">
        <v>0</v>
      </c>
      <c r="S36" s="35" t="s">
        <v>205</v>
      </c>
      <c r="T36" s="35"/>
      <c r="U36" s="20" t="str">
        <f aca="false">IF(AND(OR($E36="Both",$E36=$G$9,$E36="None",$G$9="Hybrid",$G$9=""),OR($R$5="All",$R$5="",$C36=$R$5),OR($R$6="All deliverables",$R$6="",$B36="Yes")),"Show","Hide")</f>
        <v>Show</v>
      </c>
    </row>
    <row r="37" customFormat="false" ht="27.75" hidden="false" customHeight="true" outlineLevel="0" collapsed="false">
      <c r="A37" s="36" t="s">
        <v>206</v>
      </c>
      <c r="B37" s="20" t="s">
        <v>101</v>
      </c>
      <c r="C37" s="52" t="s">
        <v>131</v>
      </c>
      <c r="D37" s="58" t="s">
        <v>193</v>
      </c>
      <c r="E37" s="23" t="s">
        <v>104</v>
      </c>
      <c r="F37" s="37" t="s">
        <v>185</v>
      </c>
      <c r="G37" s="57" t="s">
        <v>194</v>
      </c>
      <c r="H37" s="59" t="s">
        <v>194</v>
      </c>
      <c r="I37" s="40" t="s">
        <v>207</v>
      </c>
      <c r="J37" s="41" t="n">
        <v>45</v>
      </c>
      <c r="K37" s="29" t="n">
        <f aca="false">K33</f>
        <v>46205</v>
      </c>
      <c r="L37" s="29" t="n">
        <f aca="false">WORKDAY(K36,J36-1)</f>
        <v>46225</v>
      </c>
      <c r="M37" s="30"/>
      <c r="N37" s="30"/>
      <c r="O37" s="50" t="s">
        <v>200</v>
      </c>
      <c r="P37" s="43" t="s">
        <v>133</v>
      </c>
      <c r="Q37" s="41" t="s">
        <v>110</v>
      </c>
      <c r="R37" s="44" t="n">
        <v>0</v>
      </c>
      <c r="S37" s="45" t="s">
        <v>208</v>
      </c>
      <c r="T37" s="45"/>
      <c r="U37" s="20" t="str">
        <f aca="false">IF(AND(OR($E37="Both",$E37=$G$9,$E37="None",$G$9="Hybrid",$G$9=""),OR($R$5="All",$R$5="",$C37=$R$5),OR($R$6="All deliverables",$R$6="",$B37="Yes")),"Show","Hide")</f>
        <v>Show</v>
      </c>
    </row>
    <row r="38" customFormat="false" ht="27.75" hidden="false" customHeight="true" outlineLevel="0" collapsed="false">
      <c r="A38" s="46" t="s">
        <v>209</v>
      </c>
      <c r="B38" s="20" t="s">
        <v>101</v>
      </c>
      <c r="C38" s="52" t="s">
        <v>131</v>
      </c>
      <c r="D38" s="22" t="s">
        <v>103</v>
      </c>
      <c r="E38" s="23" t="s">
        <v>104</v>
      </c>
      <c r="F38" s="24" t="s">
        <v>185</v>
      </c>
      <c r="G38" s="56" t="s">
        <v>210</v>
      </c>
      <c r="H38" s="26" t="s">
        <v>210</v>
      </c>
      <c r="I38" s="51" t="s">
        <v>211</v>
      </c>
      <c r="J38" s="28" t="n">
        <v>10</v>
      </c>
      <c r="K38" s="29" t="n">
        <f aca="false">WORKDAY(MAX(L33:L36),1)</f>
        <v>46485</v>
      </c>
      <c r="L38" s="29" t="n">
        <f aca="false">WORKDAY(K37,J37-1)</f>
        <v>46267</v>
      </c>
      <c r="M38" s="30"/>
      <c r="N38" s="30"/>
      <c r="O38" s="31" t="s">
        <v>212</v>
      </c>
      <c r="P38" s="32" t="s">
        <v>213</v>
      </c>
      <c r="Q38" s="28" t="s">
        <v>110</v>
      </c>
      <c r="R38" s="33" t="n">
        <v>0</v>
      </c>
      <c r="S38" s="35" t="s">
        <v>214</v>
      </c>
      <c r="T38" s="35"/>
      <c r="U38" s="20" t="str">
        <f aca="false">IF(AND(OR($E38="Both",$E38=$G$9,$E38="None",$G$9="Hybrid",$G$9=""),OR($R$5="All",$R$5="",$C38=$R$5),OR($R$6="All deliverables",$R$6="",$B38="Yes")),"Show","Hide")</f>
        <v>Show</v>
      </c>
    </row>
    <row r="39" customFormat="false" ht="27.75" hidden="false" customHeight="true" outlineLevel="0" collapsed="false">
      <c r="A39" s="36" t="s">
        <v>215</v>
      </c>
      <c r="B39" s="20" t="s">
        <v>101</v>
      </c>
      <c r="C39" s="52" t="s">
        <v>131</v>
      </c>
      <c r="D39" s="22" t="s">
        <v>103</v>
      </c>
      <c r="E39" s="23" t="s">
        <v>104</v>
      </c>
      <c r="F39" s="37" t="s">
        <v>185</v>
      </c>
      <c r="G39" s="57" t="s">
        <v>210</v>
      </c>
      <c r="H39" s="59" t="s">
        <v>210</v>
      </c>
      <c r="I39" s="40" t="s">
        <v>216</v>
      </c>
      <c r="J39" s="41" t="n">
        <v>10</v>
      </c>
      <c r="K39" s="29" t="n">
        <f aca="false">K37</f>
        <v>46205</v>
      </c>
      <c r="L39" s="29" t="n">
        <f aca="false">WORKDAY(K38,J38-1)</f>
        <v>46498</v>
      </c>
      <c r="M39" s="30"/>
      <c r="N39" s="30"/>
      <c r="O39" s="50" t="s">
        <v>217</v>
      </c>
      <c r="P39" s="43" t="s">
        <v>218</v>
      </c>
      <c r="Q39" s="41" t="s">
        <v>110</v>
      </c>
      <c r="R39" s="44" t="n">
        <v>0</v>
      </c>
      <c r="S39" s="45"/>
      <c r="T39" s="45"/>
      <c r="U39" s="20" t="str">
        <f aca="false">IF(AND(OR($E39="Both",$E39=$G$9,$E39="None",$G$9="Hybrid",$G$9=""),OR($R$5="All",$R$5="",$C39=$R$5),OR($R$6="All deliverables",$R$6="",$B39="Yes")),"Show","Hide")</f>
        <v>Show</v>
      </c>
    </row>
    <row r="40" customFormat="false" ht="27.75" hidden="false" customHeight="true" outlineLevel="0" collapsed="false">
      <c r="A40" s="46" t="s">
        <v>219</v>
      </c>
      <c r="B40" s="20" t="s">
        <v>101</v>
      </c>
      <c r="C40" s="52" t="s">
        <v>131</v>
      </c>
      <c r="D40" s="58" t="s">
        <v>193</v>
      </c>
      <c r="E40" s="23" t="s">
        <v>104</v>
      </c>
      <c r="F40" s="24" t="s">
        <v>185</v>
      </c>
      <c r="G40" s="56" t="s">
        <v>210</v>
      </c>
      <c r="H40" s="26" t="s">
        <v>210</v>
      </c>
      <c r="I40" s="51" t="s">
        <v>220</v>
      </c>
      <c r="J40" s="28" t="n">
        <v>20</v>
      </c>
      <c r="K40" s="29" t="n">
        <f aca="false">K37</f>
        <v>46205</v>
      </c>
      <c r="L40" s="29" t="n">
        <f aca="false">WORKDAY(K39,J39-1)</f>
        <v>46218</v>
      </c>
      <c r="M40" s="30"/>
      <c r="N40" s="30"/>
      <c r="O40" s="49" t="s">
        <v>217</v>
      </c>
      <c r="P40" s="32" t="s">
        <v>221</v>
      </c>
      <c r="Q40" s="28" t="s">
        <v>110</v>
      </c>
      <c r="R40" s="33" t="n">
        <v>0</v>
      </c>
      <c r="S40" s="35" t="s">
        <v>222</v>
      </c>
      <c r="T40" s="35"/>
      <c r="U40" s="20" t="str">
        <f aca="false">IF(AND(OR($E40="Both",$E40=$G$9,$E40="None",$G$9="Hybrid",$G$9=""),OR($R$5="All",$R$5="",$C40=$R$5),OR($R$6="All deliverables",$R$6="",$B40="Yes")),"Show","Hide")</f>
        <v>Show</v>
      </c>
    </row>
    <row r="41" customFormat="false" ht="27.75" hidden="false" customHeight="true" outlineLevel="0" collapsed="false">
      <c r="A41" s="36" t="s">
        <v>223</v>
      </c>
      <c r="B41" s="20" t="s">
        <v>101</v>
      </c>
      <c r="C41" s="52" t="s">
        <v>131</v>
      </c>
      <c r="D41" s="58" t="s">
        <v>193</v>
      </c>
      <c r="E41" s="23" t="s">
        <v>104</v>
      </c>
      <c r="F41" s="37" t="s">
        <v>185</v>
      </c>
      <c r="G41" s="57" t="s">
        <v>210</v>
      </c>
      <c r="H41" s="39" t="s">
        <v>170</v>
      </c>
      <c r="I41" s="40" t="s">
        <v>224</v>
      </c>
      <c r="J41" s="41" t="n">
        <v>10</v>
      </c>
      <c r="K41" s="29" t="n">
        <f aca="false">K37</f>
        <v>46205</v>
      </c>
      <c r="L41" s="29" t="n">
        <f aca="false">WORKDAY(K40,J40-1)</f>
        <v>46232</v>
      </c>
      <c r="M41" s="30"/>
      <c r="N41" s="30"/>
      <c r="O41" s="50" t="s">
        <v>217</v>
      </c>
      <c r="P41" s="43" t="s">
        <v>225</v>
      </c>
      <c r="Q41" s="41" t="s">
        <v>110</v>
      </c>
      <c r="R41" s="44" t="n">
        <v>0</v>
      </c>
      <c r="S41" s="45" t="s">
        <v>226</v>
      </c>
      <c r="T41" s="45"/>
      <c r="U41" s="20" t="str">
        <f aca="false">IF(AND(OR($E41="Both",$E41=$G$9,$E41="None",$G$9="Hybrid",$G$9=""),OR($R$5="All",$R$5="",$C41=$R$5),OR($R$6="All deliverables",$R$6="",$B41="Yes")),"Show","Hide")</f>
        <v>Show</v>
      </c>
    </row>
    <row r="42" customFormat="false" ht="27.75" hidden="false" customHeight="true" outlineLevel="0" collapsed="false">
      <c r="A42" s="46" t="s">
        <v>227</v>
      </c>
      <c r="B42" s="20" t="s">
        <v>101</v>
      </c>
      <c r="C42" s="52" t="s">
        <v>131</v>
      </c>
      <c r="D42" s="58" t="s">
        <v>193</v>
      </c>
      <c r="E42" s="23" t="s">
        <v>104</v>
      </c>
      <c r="F42" s="24" t="s">
        <v>185</v>
      </c>
      <c r="G42" s="56" t="s">
        <v>210</v>
      </c>
      <c r="H42" s="48" t="s">
        <v>170</v>
      </c>
      <c r="I42" s="51" t="s">
        <v>228</v>
      </c>
      <c r="J42" s="28" t="n">
        <v>15</v>
      </c>
      <c r="K42" s="29" t="n">
        <f aca="false">K37</f>
        <v>46205</v>
      </c>
      <c r="L42" s="29" t="n">
        <f aca="false">WORKDAY(K41,J41-1)</f>
        <v>46218</v>
      </c>
      <c r="M42" s="30"/>
      <c r="N42" s="30"/>
      <c r="O42" s="49" t="s">
        <v>217</v>
      </c>
      <c r="P42" s="32" t="s">
        <v>218</v>
      </c>
      <c r="Q42" s="28" t="s">
        <v>110</v>
      </c>
      <c r="R42" s="33" t="n">
        <v>0</v>
      </c>
      <c r="S42" s="35" t="s">
        <v>229</v>
      </c>
      <c r="T42" s="35"/>
      <c r="U42" s="20" t="str">
        <f aca="false">IF(AND(OR($E42="Both",$E42=$G$9,$E42="None",$G$9="Hybrid",$G$9=""),OR($R$5="All",$R$5="",$C42=$R$5),OR($R$6="All deliverables",$R$6="",$B42="Yes")),"Show","Hide")</f>
        <v>Show</v>
      </c>
    </row>
    <row r="43" customFormat="false" ht="27.75" hidden="false" customHeight="true" outlineLevel="0" collapsed="false">
      <c r="A43" s="36" t="s">
        <v>230</v>
      </c>
      <c r="B43" s="20" t="s">
        <v>101</v>
      </c>
      <c r="C43" s="52" t="s">
        <v>131</v>
      </c>
      <c r="D43" s="58" t="s">
        <v>193</v>
      </c>
      <c r="E43" s="23" t="s">
        <v>104</v>
      </c>
      <c r="F43" s="37" t="s">
        <v>185</v>
      </c>
      <c r="G43" s="57" t="s">
        <v>210</v>
      </c>
      <c r="H43" s="39" t="s">
        <v>170</v>
      </c>
      <c r="I43" s="40" t="s">
        <v>231</v>
      </c>
      <c r="J43" s="41" t="n">
        <v>45</v>
      </c>
      <c r="K43" s="29" t="n">
        <f aca="false">K37</f>
        <v>46205</v>
      </c>
      <c r="L43" s="29" t="n">
        <f aca="false">WORKDAY(K42,J42-1)</f>
        <v>46225</v>
      </c>
      <c r="M43" s="30"/>
      <c r="N43" s="30"/>
      <c r="O43" s="50" t="s">
        <v>217</v>
      </c>
      <c r="P43" s="43" t="s">
        <v>121</v>
      </c>
      <c r="Q43" s="41" t="s">
        <v>110</v>
      </c>
      <c r="R43" s="44" t="n">
        <v>0</v>
      </c>
      <c r="S43" s="45" t="s">
        <v>232</v>
      </c>
      <c r="T43" s="45"/>
      <c r="U43" s="20" t="str">
        <f aca="false">IF(AND(OR($E43="Both",$E43=$G$9,$E43="None",$G$9="Hybrid",$G$9=""),OR($R$5="All",$R$5="",$C43=$R$5),OR($R$6="All deliverables",$R$6="",$B43="Yes")),"Show","Hide")</f>
        <v>Show</v>
      </c>
    </row>
    <row r="44" customFormat="false" ht="27.75" hidden="false" customHeight="true" outlineLevel="0" collapsed="false">
      <c r="A44" s="46" t="s">
        <v>233</v>
      </c>
      <c r="B44" s="20" t="s">
        <v>101</v>
      </c>
      <c r="C44" s="52" t="s">
        <v>131</v>
      </c>
      <c r="D44" s="58" t="s">
        <v>193</v>
      </c>
      <c r="E44" s="23" t="s">
        <v>104</v>
      </c>
      <c r="F44" s="24" t="s">
        <v>185</v>
      </c>
      <c r="G44" s="56" t="s">
        <v>210</v>
      </c>
      <c r="H44" s="48" t="s">
        <v>170</v>
      </c>
      <c r="I44" s="51" t="s">
        <v>234</v>
      </c>
      <c r="J44" s="28" t="n">
        <v>45</v>
      </c>
      <c r="K44" s="29" t="n">
        <f aca="false">K37</f>
        <v>46205</v>
      </c>
      <c r="L44" s="29" t="n">
        <f aca="false">WORKDAY(K43,J43-1)</f>
        <v>46267</v>
      </c>
      <c r="M44" s="30"/>
      <c r="N44" s="30"/>
      <c r="O44" s="49" t="s">
        <v>217</v>
      </c>
      <c r="P44" s="32" t="s">
        <v>121</v>
      </c>
      <c r="Q44" s="28" t="s">
        <v>110</v>
      </c>
      <c r="R44" s="33" t="n">
        <v>0</v>
      </c>
      <c r="S44" s="35" t="s">
        <v>235</v>
      </c>
      <c r="T44" s="35"/>
      <c r="U44" s="20" t="str">
        <f aca="false">IF(AND(OR($E44="Both",$E44=$G$9,$E44="None",$G$9="Hybrid",$G$9=""),OR($R$5="All",$R$5="",$C44=$R$5),OR($R$6="All deliverables",$R$6="",$B44="Yes")),"Show","Hide")</f>
        <v>Show</v>
      </c>
    </row>
    <row r="45" customFormat="false" ht="27.75" hidden="false" customHeight="true" outlineLevel="0" collapsed="false">
      <c r="A45" s="36" t="s">
        <v>236</v>
      </c>
      <c r="B45" s="20" t="s">
        <v>101</v>
      </c>
      <c r="C45" s="52" t="s">
        <v>131</v>
      </c>
      <c r="D45" s="58" t="s">
        <v>193</v>
      </c>
      <c r="E45" s="23" t="s">
        <v>104</v>
      </c>
      <c r="F45" s="37" t="s">
        <v>185</v>
      </c>
      <c r="G45" s="57" t="s">
        <v>237</v>
      </c>
      <c r="H45" s="59" t="s">
        <v>237</v>
      </c>
      <c r="I45" s="40" t="s">
        <v>238</v>
      </c>
      <c r="J45" s="41" t="n">
        <v>20</v>
      </c>
      <c r="K45" s="29" t="n">
        <f aca="false">WORKDAY(MAX(L37:L43),1)</f>
        <v>46499</v>
      </c>
      <c r="L45" s="29" t="n">
        <f aca="false">WORKDAY(K44,J44-1)</f>
        <v>46267</v>
      </c>
      <c r="M45" s="30"/>
      <c r="N45" s="30"/>
      <c r="O45" s="42" t="s">
        <v>239</v>
      </c>
      <c r="P45" s="43" t="s">
        <v>159</v>
      </c>
      <c r="Q45" s="41" t="s">
        <v>110</v>
      </c>
      <c r="R45" s="44" t="n">
        <v>0</v>
      </c>
      <c r="S45" s="45" t="s">
        <v>240</v>
      </c>
      <c r="T45" s="45"/>
      <c r="U45" s="20" t="str">
        <f aca="false">IF(AND(OR($E45="Both",$E45=$G$9,$E45="None",$G$9="Hybrid",$G$9=""),OR($R$5="All",$R$5="",$C45=$R$5),OR($R$6="All deliverables",$R$6="",$B45="Yes")),"Show","Hide")</f>
        <v>Show</v>
      </c>
    </row>
    <row r="46" customFormat="false" ht="27.75" hidden="false" customHeight="true" outlineLevel="0" collapsed="false">
      <c r="A46" s="46" t="s">
        <v>241</v>
      </c>
      <c r="B46" s="20" t="s">
        <v>101</v>
      </c>
      <c r="C46" s="52" t="s">
        <v>131</v>
      </c>
      <c r="D46" s="58" t="s">
        <v>193</v>
      </c>
      <c r="E46" s="23" t="s">
        <v>104</v>
      </c>
      <c r="F46" s="24" t="s">
        <v>185</v>
      </c>
      <c r="G46" s="56" t="s">
        <v>237</v>
      </c>
      <c r="H46" s="26" t="s">
        <v>237</v>
      </c>
      <c r="I46" s="51" t="s">
        <v>242</v>
      </c>
      <c r="J46" s="28" t="n">
        <v>20</v>
      </c>
      <c r="K46" s="29" t="n">
        <f aca="false">K44</f>
        <v>46205</v>
      </c>
      <c r="L46" s="29" t="n">
        <f aca="false">WORKDAY(K45,J45-1)</f>
        <v>46526</v>
      </c>
      <c r="M46" s="30"/>
      <c r="N46" s="30"/>
      <c r="O46" s="49" t="s">
        <v>243</v>
      </c>
      <c r="P46" s="32" t="s">
        <v>204</v>
      </c>
      <c r="Q46" s="28" t="s">
        <v>110</v>
      </c>
      <c r="R46" s="33" t="n">
        <v>0</v>
      </c>
      <c r="S46" s="35" t="s">
        <v>244</v>
      </c>
      <c r="T46" s="35"/>
      <c r="U46" s="20" t="str">
        <f aca="false">IF(AND(OR($E46="Both",$E46=$G$9,$E46="None",$G$9="Hybrid",$G$9=""),OR($R$5="All",$R$5="",$C46=$R$5),OR($R$6="All deliverables",$R$6="",$B46="Yes")),"Show","Hide")</f>
        <v>Show</v>
      </c>
    </row>
    <row r="47" customFormat="false" ht="27.75" hidden="false" customHeight="true" outlineLevel="0" collapsed="false">
      <c r="A47" s="36" t="s">
        <v>245</v>
      </c>
      <c r="B47" s="20" t="s">
        <v>101</v>
      </c>
      <c r="C47" s="52" t="s">
        <v>131</v>
      </c>
      <c r="D47" s="47" t="s">
        <v>118</v>
      </c>
      <c r="E47" s="23" t="s">
        <v>104</v>
      </c>
      <c r="F47" s="37" t="s">
        <v>185</v>
      </c>
      <c r="G47" s="57" t="s">
        <v>237</v>
      </c>
      <c r="H47" s="59" t="s">
        <v>237</v>
      </c>
      <c r="I47" s="40" t="s">
        <v>246</v>
      </c>
      <c r="J47" s="41" t="n">
        <v>15</v>
      </c>
      <c r="K47" s="29" t="n">
        <f aca="false">K44</f>
        <v>46205</v>
      </c>
      <c r="L47" s="29" t="n">
        <f aca="false">WORKDAY(K46,J46-1)</f>
        <v>46232</v>
      </c>
      <c r="M47" s="30"/>
      <c r="N47" s="30"/>
      <c r="O47" s="50" t="s">
        <v>243</v>
      </c>
      <c r="P47" s="43" t="s">
        <v>159</v>
      </c>
      <c r="Q47" s="41" t="s">
        <v>110</v>
      </c>
      <c r="R47" s="44" t="n">
        <v>0</v>
      </c>
      <c r="S47" s="45" t="s">
        <v>247</v>
      </c>
      <c r="T47" s="45"/>
      <c r="U47" s="20" t="str">
        <f aca="false">IF(AND(OR($E47="Both",$E47=$G$9,$E47="None",$G$9="Hybrid",$G$9=""),OR($R$5="All",$R$5="",$C47=$R$5),OR($R$6="All deliverables",$R$6="",$B47="Yes")),"Show","Hide")</f>
        <v>Show</v>
      </c>
    </row>
    <row r="48" customFormat="false" ht="27.75" hidden="false" customHeight="true" outlineLevel="0" collapsed="false">
      <c r="A48" s="46" t="s">
        <v>248</v>
      </c>
      <c r="B48" s="20" t="s">
        <v>101</v>
      </c>
      <c r="C48" s="21" t="s">
        <v>102</v>
      </c>
      <c r="D48" s="47" t="s">
        <v>118</v>
      </c>
      <c r="E48" s="23" t="s">
        <v>104</v>
      </c>
      <c r="F48" s="24" t="s">
        <v>185</v>
      </c>
      <c r="G48" s="56" t="s">
        <v>237</v>
      </c>
      <c r="H48" s="26" t="s">
        <v>237</v>
      </c>
      <c r="I48" s="51" t="s">
        <v>249</v>
      </c>
      <c r="J48" s="28" t="n">
        <v>15</v>
      </c>
      <c r="K48" s="29" t="n">
        <f aca="false">K45</f>
        <v>46499</v>
      </c>
      <c r="L48" s="29" t="n">
        <f aca="false">WORKDAY(K47,J47-1)</f>
        <v>46225</v>
      </c>
      <c r="M48" s="30"/>
      <c r="N48" s="30"/>
      <c r="O48" s="49" t="s">
        <v>243</v>
      </c>
      <c r="P48" s="32" t="s">
        <v>250</v>
      </c>
      <c r="Q48" s="28" t="s">
        <v>110</v>
      </c>
      <c r="R48" s="33" t="n">
        <v>0</v>
      </c>
      <c r="S48" s="35" t="s">
        <v>247</v>
      </c>
      <c r="T48" s="35" t="s">
        <v>251</v>
      </c>
      <c r="U48" s="20" t="str">
        <f aca="false">IF(AND(OR($E48="Both",$E48=$G$9,$E48="None",$G$9="Hybrid",$G$9=""),OR($R$5="All",$R$5="",$C48=$R$5),OR($R$6="All deliverables",$R$6="",$B48="Yes")),"Show","Hide")</f>
        <v>Show</v>
      </c>
    </row>
    <row r="49" customFormat="false" ht="27.75" hidden="false" customHeight="true" outlineLevel="0" collapsed="false">
      <c r="A49" s="36" t="s">
        <v>252</v>
      </c>
      <c r="B49" s="20" t="s">
        <v>101</v>
      </c>
      <c r="C49" s="21" t="s">
        <v>102</v>
      </c>
      <c r="D49" s="58" t="s">
        <v>193</v>
      </c>
      <c r="E49" s="23" t="s">
        <v>104</v>
      </c>
      <c r="F49" s="37" t="s">
        <v>185</v>
      </c>
      <c r="G49" s="57" t="s">
        <v>253</v>
      </c>
      <c r="H49" s="59" t="s">
        <v>253</v>
      </c>
      <c r="I49" s="40" t="s">
        <v>254</v>
      </c>
      <c r="J49" s="41" t="n">
        <v>15</v>
      </c>
      <c r="K49" s="29" t="n">
        <f aca="false">WORKDAY(MAX(L44:L47),1)</f>
        <v>46527</v>
      </c>
      <c r="L49" s="29" t="n">
        <f aca="false">WORKDAY(K48,J48-1)</f>
        <v>46519</v>
      </c>
      <c r="M49" s="30"/>
      <c r="N49" s="30"/>
      <c r="O49" s="42" t="s">
        <v>255</v>
      </c>
      <c r="P49" s="43" t="s">
        <v>256</v>
      </c>
      <c r="Q49" s="41" t="s">
        <v>110</v>
      </c>
      <c r="R49" s="44" t="n">
        <v>0</v>
      </c>
      <c r="S49" s="45" t="s">
        <v>257</v>
      </c>
      <c r="T49" s="45"/>
      <c r="U49" s="20" t="str">
        <f aca="false">IF(AND(OR($E49="Both",$E49=$G$9,$E49="None",$G$9="Hybrid",$G$9=""),OR($R$5="All",$R$5="",$C49=$R$5),OR($R$6="All deliverables",$R$6="",$B49="Yes")),"Show","Hide")</f>
        <v>Show</v>
      </c>
    </row>
    <row r="50" customFormat="false" ht="27.75" hidden="false" customHeight="true" outlineLevel="0" collapsed="false">
      <c r="A50" s="46" t="s">
        <v>258</v>
      </c>
      <c r="B50" s="20" t="s">
        <v>101</v>
      </c>
      <c r="C50" s="21" t="s">
        <v>102</v>
      </c>
      <c r="D50" s="22" t="s">
        <v>103</v>
      </c>
      <c r="E50" s="23" t="s">
        <v>104</v>
      </c>
      <c r="F50" s="24" t="s">
        <v>185</v>
      </c>
      <c r="G50" s="56" t="s">
        <v>253</v>
      </c>
      <c r="H50" s="26" t="s">
        <v>253</v>
      </c>
      <c r="I50" s="51" t="s">
        <v>259</v>
      </c>
      <c r="J50" s="28" t="n">
        <v>5</v>
      </c>
      <c r="K50" s="29" t="n">
        <f aca="false">K48</f>
        <v>46499</v>
      </c>
      <c r="L50" s="29" t="n">
        <f aca="false">WORKDAY(K49,J49-1)</f>
        <v>46547</v>
      </c>
      <c r="M50" s="30"/>
      <c r="N50" s="30"/>
      <c r="O50" s="49" t="s">
        <v>260</v>
      </c>
      <c r="P50" s="32" t="s">
        <v>121</v>
      </c>
      <c r="Q50" s="28" t="s">
        <v>110</v>
      </c>
      <c r="R50" s="33" t="n">
        <v>0</v>
      </c>
      <c r="S50" s="35"/>
      <c r="T50" s="35"/>
      <c r="U50" s="20" t="str">
        <f aca="false">IF(AND(OR($E50="Both",$E50=$G$9,$E50="None",$G$9="Hybrid",$G$9=""),OR($R$5="All",$R$5="",$C50=$R$5),OR($R$6="All deliverables",$R$6="",$B50="Yes")),"Show","Hide")</f>
        <v>Show</v>
      </c>
    </row>
    <row r="51" customFormat="false" ht="27.75" hidden="false" customHeight="true" outlineLevel="0" collapsed="false">
      <c r="A51" s="36" t="s">
        <v>261</v>
      </c>
      <c r="B51" s="20" t="s">
        <v>101</v>
      </c>
      <c r="C51" s="21" t="s">
        <v>102</v>
      </c>
      <c r="D51" s="22" t="s">
        <v>103</v>
      </c>
      <c r="E51" s="23" t="s">
        <v>104</v>
      </c>
      <c r="F51" s="37" t="s">
        <v>185</v>
      </c>
      <c r="G51" s="57" t="s">
        <v>237</v>
      </c>
      <c r="H51" s="39" t="s">
        <v>170</v>
      </c>
      <c r="I51" s="40" t="s">
        <v>262</v>
      </c>
      <c r="J51" s="41" t="n">
        <v>5</v>
      </c>
      <c r="K51" s="29" t="n">
        <f aca="false">K44</f>
        <v>46205</v>
      </c>
      <c r="L51" s="29" t="n">
        <f aca="false">WORKDAY(K50,J50-1)</f>
        <v>46505</v>
      </c>
      <c r="M51" s="30"/>
      <c r="N51" s="30"/>
      <c r="O51" s="50" t="s">
        <v>243</v>
      </c>
      <c r="P51" s="43" t="s">
        <v>121</v>
      </c>
      <c r="Q51" s="41" t="s">
        <v>110</v>
      </c>
      <c r="R51" s="44" t="n">
        <v>0</v>
      </c>
      <c r="S51" s="45"/>
      <c r="T51" s="45"/>
      <c r="U51" s="20" t="str">
        <f aca="false">IF(AND(OR($E51="Both",$E51=$G$9,$E51="None",$G$9="Hybrid",$G$9=""),OR($R$5="All",$R$5="",$C51=$R$5),OR($R$6="All deliverables",$R$6="",$B51="Yes")),"Show","Hide")</f>
        <v>Show</v>
      </c>
    </row>
    <row r="52" customFormat="false" ht="27.75" hidden="false" customHeight="true" outlineLevel="0" collapsed="false">
      <c r="A52" s="46" t="s">
        <v>263</v>
      </c>
      <c r="B52" s="20" t="s">
        <v>101</v>
      </c>
      <c r="C52" s="52" t="s">
        <v>131</v>
      </c>
      <c r="D52" s="22" t="s">
        <v>103</v>
      </c>
      <c r="E52" s="23" t="s">
        <v>104</v>
      </c>
      <c r="F52" s="24" t="s">
        <v>185</v>
      </c>
      <c r="G52" s="56" t="s">
        <v>237</v>
      </c>
      <c r="H52" s="48" t="s">
        <v>170</v>
      </c>
      <c r="I52" s="51" t="s">
        <v>264</v>
      </c>
      <c r="J52" s="28" t="n">
        <v>3</v>
      </c>
      <c r="K52" s="29" t="n">
        <f aca="false">K45</f>
        <v>46499</v>
      </c>
      <c r="L52" s="29" t="n">
        <f aca="false">WORKDAY(K51,J51-1)</f>
        <v>46211</v>
      </c>
      <c r="M52" s="30"/>
      <c r="N52" s="30"/>
      <c r="O52" s="49" t="s">
        <v>243</v>
      </c>
      <c r="P52" s="32" t="s">
        <v>121</v>
      </c>
      <c r="Q52" s="28" t="s">
        <v>110</v>
      </c>
      <c r="R52" s="33" t="n">
        <v>0</v>
      </c>
      <c r="S52" s="35"/>
      <c r="T52" s="35"/>
      <c r="U52" s="20" t="str">
        <f aca="false">IF(AND(OR($E52="Both",$E52=$G$9,$E52="None",$G$9="Hybrid",$G$9=""),OR($R$5="All",$R$5="",$C52=$R$5),OR($R$6="All deliverables",$R$6="",$B52="Yes")),"Show","Hide")</f>
        <v>Show</v>
      </c>
    </row>
    <row r="53" customFormat="false" ht="27.75" hidden="false" customHeight="true" outlineLevel="0" collapsed="false">
      <c r="A53" s="36" t="s">
        <v>265</v>
      </c>
      <c r="B53" s="20" t="s">
        <v>101</v>
      </c>
      <c r="C53" s="52" t="s">
        <v>131</v>
      </c>
      <c r="D53" s="47" t="s">
        <v>118</v>
      </c>
      <c r="E53" s="23" t="s">
        <v>104</v>
      </c>
      <c r="F53" s="37" t="s">
        <v>185</v>
      </c>
      <c r="G53" s="57" t="s">
        <v>266</v>
      </c>
      <c r="H53" s="59" t="s">
        <v>266</v>
      </c>
      <c r="I53" s="40" t="s">
        <v>267</v>
      </c>
      <c r="J53" s="41" t="n">
        <v>30</v>
      </c>
      <c r="K53" s="29" t="n">
        <f aca="false">WORKDAY(MAX(L48:L51),1)</f>
        <v>46548</v>
      </c>
      <c r="L53" s="29" t="n">
        <f aca="false">WORKDAY(K52,J52-1)</f>
        <v>46503</v>
      </c>
      <c r="M53" s="30"/>
      <c r="N53" s="30"/>
      <c r="O53" s="42" t="s">
        <v>268</v>
      </c>
      <c r="P53" s="43" t="s">
        <v>269</v>
      </c>
      <c r="Q53" s="41" t="s">
        <v>110</v>
      </c>
      <c r="R53" s="44" t="n">
        <v>0</v>
      </c>
      <c r="S53" s="45" t="s">
        <v>270</v>
      </c>
      <c r="T53" s="45"/>
      <c r="U53" s="20" t="str">
        <f aca="false">IF(AND(OR($E53="Both",$E53=$G$9,$E53="None",$G$9="Hybrid",$G$9=""),OR($R$5="All",$R$5="",$C53=$R$5),OR($R$6="All deliverables",$R$6="",$B53="Yes")),"Show","Hide")</f>
        <v>Show</v>
      </c>
    </row>
    <row r="54" customFormat="false" ht="27.75" hidden="false" customHeight="true" outlineLevel="0" collapsed="false">
      <c r="A54" s="46" t="s">
        <v>271</v>
      </c>
      <c r="B54" s="20" t="s">
        <v>101</v>
      </c>
      <c r="C54" s="21" t="s">
        <v>102</v>
      </c>
      <c r="D54" s="22" t="s">
        <v>103</v>
      </c>
      <c r="E54" s="23" t="s">
        <v>104</v>
      </c>
      <c r="F54" s="24" t="s">
        <v>272</v>
      </c>
      <c r="G54" s="25" t="s">
        <v>106</v>
      </c>
      <c r="H54" s="26" t="s">
        <v>272</v>
      </c>
      <c r="I54" s="51" t="s">
        <v>273</v>
      </c>
      <c r="J54" s="28" t="n">
        <v>5</v>
      </c>
      <c r="K54" s="29" t="n">
        <f aca="false">WORKDAY(MAX(L33:L52),1)</f>
        <v>46548</v>
      </c>
      <c r="L54" s="29" t="n">
        <f aca="false">WORKDAY(K53,J53-1)</f>
        <v>46589</v>
      </c>
      <c r="M54" s="30"/>
      <c r="N54" s="30"/>
      <c r="O54" s="31" t="s">
        <v>274</v>
      </c>
      <c r="P54" s="32" t="s">
        <v>121</v>
      </c>
      <c r="Q54" s="28" t="s">
        <v>110</v>
      </c>
      <c r="R54" s="33" t="n">
        <v>0</v>
      </c>
      <c r="S54" s="35"/>
      <c r="T54" s="35"/>
      <c r="U54" s="20" t="str">
        <f aca="false">IF(AND(OR($E54="Both",$E54=$G$9,$E54="None",$G$9="Hybrid",$G$9=""),OR($R$5="All",$R$5="",$C54=$R$5),OR($R$6="All deliverables",$R$6="",$B54="Yes")),"Show","Hide")</f>
        <v>Show</v>
      </c>
    </row>
    <row r="55" customFormat="false" ht="27.75" hidden="false" customHeight="true" outlineLevel="0" collapsed="false">
      <c r="A55" s="36" t="s">
        <v>275</v>
      </c>
      <c r="B55" s="20" t="s">
        <v>101</v>
      </c>
      <c r="C55" s="21" t="s">
        <v>102</v>
      </c>
      <c r="D55" s="22" t="s">
        <v>103</v>
      </c>
      <c r="E55" s="23" t="s">
        <v>104</v>
      </c>
      <c r="F55" s="37" t="s">
        <v>272</v>
      </c>
      <c r="G55" s="38" t="s">
        <v>106</v>
      </c>
      <c r="H55" s="59" t="s">
        <v>272</v>
      </c>
      <c r="I55" s="40" t="s">
        <v>276</v>
      </c>
      <c r="J55" s="41" t="n">
        <v>10</v>
      </c>
      <c r="K55" s="29" t="n">
        <f aca="false">K53</f>
        <v>46548</v>
      </c>
      <c r="L55" s="29" t="n">
        <f aca="false">WORKDAY(K54,J54-1)</f>
        <v>46554</v>
      </c>
      <c r="M55" s="30"/>
      <c r="N55" s="30"/>
      <c r="O55" s="50" t="s">
        <v>277</v>
      </c>
      <c r="P55" s="43" t="s">
        <v>121</v>
      </c>
      <c r="Q55" s="41" t="s">
        <v>110</v>
      </c>
      <c r="R55" s="44" t="n">
        <v>0</v>
      </c>
      <c r="S55" s="45"/>
      <c r="T55" s="45"/>
      <c r="U55" s="20" t="str">
        <f aca="false">IF(AND(OR($E55="Both",$E55=$G$9,$E55="None",$G$9="Hybrid",$G$9=""),OR($R$5="All",$R$5="",$C55=$R$5),OR($R$6="All deliverables",$R$6="",$B55="Yes")),"Show","Hide")</f>
        <v>Show</v>
      </c>
    </row>
    <row r="56" customFormat="false" ht="27.75" hidden="false" customHeight="true" outlineLevel="0" collapsed="false">
      <c r="A56" s="46" t="s">
        <v>278</v>
      </c>
      <c r="B56" s="46"/>
      <c r="C56" s="46"/>
      <c r="D56" s="46"/>
      <c r="E56" s="46"/>
      <c r="F56" s="46"/>
      <c r="G56" s="46"/>
      <c r="H56" s="46"/>
      <c r="I56" s="46"/>
      <c r="J56" s="28" t="n">
        <v>5</v>
      </c>
      <c r="K56" s="29" t="n">
        <f aca="false">K53</f>
        <v>46548</v>
      </c>
      <c r="L56" s="29" t="n">
        <f aca="false">WORKDAY(K55,J55-1)</f>
        <v>46561</v>
      </c>
      <c r="M56" s="30"/>
      <c r="N56" s="30"/>
      <c r="O56" s="49" t="s">
        <v>277</v>
      </c>
      <c r="P56" s="32" t="s">
        <v>168</v>
      </c>
      <c r="Q56" s="28" t="s">
        <v>110</v>
      </c>
      <c r="R56" s="33" t="n">
        <v>0</v>
      </c>
      <c r="S56" s="35"/>
      <c r="T56" s="35"/>
      <c r="U56" s="20" t="str">
        <f aca="false">IF(AND(OR($E56="Both",$E56=$G$9,$E56="None",$G$9="Hybrid",$G$9=""),OR($R$5="All",$R$5="",$C56=$R$5),OR($R$6="All deliverables",$R$6="",$B56="Yes")),"Show","Hide")</f>
        <v>Hide</v>
      </c>
    </row>
    <row r="57" customFormat="false" ht="25.5" hidden="false" customHeight="true" outlineLevel="0" collapsed="false">
      <c r="A57" s="36" t="s">
        <v>279</v>
      </c>
      <c r="B57" s="20" t="s">
        <v>101</v>
      </c>
      <c r="C57" s="60"/>
      <c r="D57" s="60"/>
      <c r="E57" s="60"/>
      <c r="F57" s="60"/>
      <c r="G57" s="60"/>
      <c r="H57" s="60"/>
      <c r="I57" s="61"/>
      <c r="J57" s="41" t="n">
        <v>10</v>
      </c>
      <c r="K57" s="29" t="n">
        <f aca="false">K53</f>
        <v>46548</v>
      </c>
      <c r="L57" s="29" t="n">
        <f aca="false">WORKDAY(K56,J56-1)</f>
        <v>46554</v>
      </c>
      <c r="M57" s="30"/>
      <c r="N57" s="30"/>
      <c r="O57" s="50" t="s">
        <v>277</v>
      </c>
      <c r="P57" s="43" t="s">
        <v>121</v>
      </c>
      <c r="Q57" s="41" t="s">
        <v>110</v>
      </c>
      <c r="R57" s="44" t="n">
        <v>0</v>
      </c>
      <c r="S57" s="45" t="s">
        <v>280</v>
      </c>
      <c r="T57" s="45"/>
      <c r="U57" s="20" t="str">
        <f aca="false">IF(AND(OR($E57="Both",$E57=$G$9,$E57="None",$G$9="Hybrid",$G$9=""),OR($R$5="All",$R$5="",$C57=$R$5),OR($R$6="All deliverables",$R$6="",$B57="Yes")),"Show","Hide")</f>
        <v>Hide</v>
      </c>
    </row>
    <row r="58" customFormat="false" ht="14.25" hidden="false" customHeight="false" outlineLevel="0" collapsed="false">
      <c r="A58" s="62" t="s">
        <v>281</v>
      </c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3"/>
      <c r="U58" s="20" t="str">
        <f aca="false">IF(OR($E57="Both",$E57=$G$9,$E57="None",$G$9="Hybrid",$G$9=""),"Show","Hide")</f>
        <v>Hide</v>
      </c>
    </row>
    <row r="59" customFormat="false" ht="37.5" hidden="false" customHeight="true" outlineLevel="0" collapsed="false"/>
    <row r="60" customFormat="false" ht="168.65" hidden="false" customHeight="false" outlineLevel="0" collapsed="false">
      <c r="A60" s="64" t="s">
        <v>282</v>
      </c>
      <c r="U60" s="20" t="str">
        <f aca="false">IF(OR($E59="Both",$E59=$G$9,$E59="None",$G$9="Hybrid",$G$9=""),"Show","Hide")</f>
        <v>Hide</v>
      </c>
    </row>
  </sheetData>
  <autoFilter ref="A11:U60"/>
  <mergeCells count="17">
    <mergeCell ref="A1:S1"/>
    <mergeCell ref="A2:S2"/>
    <mergeCell ref="A4:F4"/>
    <mergeCell ref="G4:L4"/>
    <mergeCell ref="A5:F5"/>
    <mergeCell ref="G5:L5"/>
    <mergeCell ref="A6:F6"/>
    <mergeCell ref="G6:L6"/>
    <mergeCell ref="A7:F7"/>
    <mergeCell ref="G7:L7"/>
    <mergeCell ref="A8:F8"/>
    <mergeCell ref="G8:L8"/>
    <mergeCell ref="A9:F9"/>
    <mergeCell ref="G9:L9"/>
    <mergeCell ref="A10:S10"/>
    <mergeCell ref="A56:I56"/>
    <mergeCell ref="A58:S58"/>
  </mergeCells>
  <conditionalFormatting sqref="P12:P56">
    <cfRule type="cellIs" priority="2" operator="equal" aboveAverage="0" equalAverage="0" bottom="0" percent="0" rank="0" text="" dxfId="20">
      <formula>"Complete"</formula>
    </cfRule>
    <cfRule type="cellIs" priority="3" operator="equal" aboveAverage="0" equalAverage="0" bottom="0" percent="0" rank="0" text="" dxfId="21">
      <formula>"In Progress"</formula>
    </cfRule>
    <cfRule type="cellIs" priority="4" operator="equal" aboveAverage="0" equalAverage="0" bottom="0" percent="0" rank="0" text="" dxfId="22">
      <formula>"At Risk"</formula>
    </cfRule>
    <cfRule type="cellIs" priority="5" operator="equal" aboveAverage="0" equalAverage="0" bottom="0" percent="0" rank="0" text="" dxfId="23">
      <formula>"Blocked"</formula>
    </cfRule>
    <cfRule type="cellIs" priority="6" operator="equal" aboveAverage="0" equalAverage="0" bottom="0" percent="0" rank="0" text="" dxfId="24">
      <formula>"N/A"</formula>
    </cfRule>
  </conditionalFormatting>
  <conditionalFormatting sqref="B12:B57">
    <cfRule type="cellIs" priority="7" operator="equal" aboveAverage="0" equalAverage="0" bottom="0" percent="0" rank="0" text="" dxfId="25">
      <formula>"Yes"</formula>
    </cfRule>
    <cfRule type="cellIs" priority="8" operator="equal" aboveAverage="0" equalAverage="0" bottom="0" percent="0" rank="0" text="" dxfId="26">
      <formula>"No"</formula>
    </cfRule>
  </conditionalFormatting>
  <conditionalFormatting sqref="A12:C56 F12:G56 I12:I56 K12:P56 S12:T56">
    <cfRule type="expression" priority="9" aboveAverage="0" equalAverage="0" bottom="0" percent="0" rank="0" text="" dxfId="27">
      <formula>ISERROR(SEARCH($G$9,#ref!))</formula>
    </cfRule>
  </conditionalFormatting>
  <dataValidations count="6">
    <dataValidation allowBlank="false" error="Enter S, M, or L" errorStyle="stop" errorTitle="Invalid" operator="between" prompt="Set this project's size class: S (Small), M (Midsize), or L (Large)" promptTitle="Project Size" showDropDown="false" showErrorMessage="false" showInputMessage="false" sqref="H9:N9" type="list">
      <formula1>"Agile,Waterfall,_"</formula1>
      <formula2>0</formula2>
    </dataValidation>
    <dataValidation allowBlank="false" errorStyle="stop" operator="between" showDropDown="false" showErrorMessage="false" showInputMessage="false" sqref="P12:P56" type="list">
      <formula1>"Not Started,In Progress,At Risk,Blocked,Complete,N/A"</formula1>
      <formula2>0</formula2>
    </dataValidation>
    <dataValidation allowBlank="false" errorStyle="stop" operator="between" showDropDown="false" showErrorMessage="false" showInputMessage="false" sqref="Q12:Q56" type="decimal">
      <formula1>0</formula1>
      <formula2>1</formula2>
    </dataValidation>
    <dataValidation allowBlank="true" errorStyle="stop" operator="between" showDropDown="false" showErrorMessage="false" showInputMessage="false" sqref="G9" type="list">
      <formula1>"Waterfall,Agile,Hybrid"</formula1>
      <formula2>0</formula2>
    </dataValidation>
    <dataValidation allowBlank="true" errorStyle="stop" operator="between" showDropDown="false" showErrorMessage="false" showInputMessage="false" sqref="R5 Q9" type="list">
      <formula1>"All,Governance &amp; Management,Delivery &amp; Execution"</formula1>
      <formula2>0</formula2>
    </dataValidation>
    <dataValidation allowBlank="true" errorStyle="stop" operator="between" showDropDown="false" showErrorMessage="false" showInputMessage="false" sqref="R6" type="list">
      <formula1>"All deliverables,Profiler-triggered only"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3" activeCellId="0" sqref="A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50"/>
    <col collapsed="false" customWidth="true" hidden="false" outlineLevel="0" max="8" min="7" style="0" width="10"/>
  </cols>
  <sheetData>
    <row r="1" customFormat="false" ht="30" hidden="false" customHeight="true" outlineLevel="0" collapsed="false">
      <c r="A1" s="65" t="s">
        <v>283</v>
      </c>
      <c r="B1" s="65"/>
      <c r="C1" s="65"/>
      <c r="D1" s="65"/>
      <c r="E1" s="65"/>
      <c r="F1" s="65"/>
    </row>
    <row r="3" customFormat="false" ht="37.5" hidden="false" customHeight="true" outlineLevel="0" collapsed="false">
      <c r="A3" s="66" t="s">
        <v>284</v>
      </c>
      <c r="B3" s="66" t="s">
        <v>285</v>
      </c>
      <c r="C3" s="66" t="s">
        <v>286</v>
      </c>
      <c r="D3" s="66" t="s">
        <v>287</v>
      </c>
      <c r="E3" s="66" t="s">
        <v>288</v>
      </c>
      <c r="F3" s="66" t="s">
        <v>289</v>
      </c>
      <c r="G3" s="67" t="s">
        <v>290</v>
      </c>
      <c r="H3" s="67" t="s">
        <v>291</v>
      </c>
    </row>
    <row r="4" customFormat="false" ht="31.5" hidden="false" customHeight="true" outlineLevel="0" collapsed="false">
      <c r="A4" s="68" t="s">
        <v>105</v>
      </c>
      <c r="B4" s="69" t="n">
        <f aca="false">COUNTIF(Schedule!E12:E57,A4)</f>
        <v>0</v>
      </c>
      <c r="C4" s="69" t="n">
        <f aca="false">SUMIF(Schedule!E12:E57,A4,Schedule!I12:I57)</f>
        <v>0</v>
      </c>
      <c r="D4" s="70" t="n">
        <f aca="false">_xlfn.MINIFS(Schedule!J12:J57,Schedule!E12:E57,A4)</f>
        <v>0</v>
      </c>
      <c r="E4" s="70" t="n">
        <f aca="false">_xlfn.MAXIFS(Schedule!K12:K57,Schedule!E12:E57,A4)</f>
        <v>0</v>
      </c>
      <c r="F4" s="71" t="s">
        <v>292</v>
      </c>
      <c r="G4" s="72" t="n">
        <f aca="false">IF(COUNT(D4:E4)=2,NETWORKDAYS(D4,E4),"")</f>
        <v>0</v>
      </c>
      <c r="H4" s="72" t="n">
        <f aca="false">IF(COUNT(D4:E4)=2,E4-D4+1,"")</f>
        <v>1</v>
      </c>
    </row>
    <row r="5" customFormat="false" ht="31.5" hidden="false" customHeight="true" outlineLevel="0" collapsed="false">
      <c r="A5" s="73" t="s">
        <v>112</v>
      </c>
      <c r="B5" s="74" t="n">
        <f aca="false">COUNTIF(Schedule!E12:E57,A5)</f>
        <v>0</v>
      </c>
      <c r="C5" s="74" t="n">
        <f aca="false">SUMIF(Schedule!E12:E57,A5,Schedule!I12:I57)</f>
        <v>0</v>
      </c>
      <c r="D5" s="75" t="n">
        <f aca="false">_xlfn.MINIFS(Schedule!J12:J57,Schedule!E12:E57,A5)</f>
        <v>0</v>
      </c>
      <c r="E5" s="75" t="n">
        <f aca="false">_xlfn.MAXIFS(Schedule!K12:K57,Schedule!E12:E57,A5)</f>
        <v>0</v>
      </c>
      <c r="F5" s="76" t="s">
        <v>293</v>
      </c>
      <c r="G5" s="72" t="n">
        <f aca="false">IF(COUNT(D5:E5)=2,NETWORKDAYS(D5,E5),"")</f>
        <v>0</v>
      </c>
      <c r="H5" s="72" t="n">
        <f aca="false">IF(COUNT(D5:E5)=2,E5-D5+1,"")</f>
        <v>1</v>
      </c>
    </row>
    <row r="6" customFormat="false" ht="31.5" hidden="false" customHeight="true" outlineLevel="0" collapsed="false">
      <c r="A6" s="77" t="s">
        <v>140</v>
      </c>
      <c r="B6" s="78" t="n">
        <f aca="false">COUNTIF(Schedule!E12:E57,A6)</f>
        <v>0</v>
      </c>
      <c r="C6" s="78" t="n">
        <f aca="false">SUMIF(Schedule!E12:E57,A6,Schedule!I12:I57)</f>
        <v>0</v>
      </c>
      <c r="D6" s="79" t="n">
        <f aca="false">_xlfn.MINIFS(Schedule!J12:J57,Schedule!E12:E57,A6)</f>
        <v>0</v>
      </c>
      <c r="E6" s="79" t="n">
        <f aca="false">_xlfn.MAXIFS(Schedule!K12:K57,Schedule!E12:E57,A6)</f>
        <v>0</v>
      </c>
      <c r="F6" s="80" t="s">
        <v>294</v>
      </c>
      <c r="G6" s="72" t="n">
        <f aca="false">IF(COUNT(D6:E6)=2,NETWORKDAYS(D6,E6),"")</f>
        <v>0</v>
      </c>
      <c r="H6" s="72" t="n">
        <f aca="false">IF(COUNT(D6:E6)=2,E6-D6+1,"")</f>
        <v>1</v>
      </c>
    </row>
    <row r="7" customFormat="false" ht="31.5" hidden="false" customHeight="true" outlineLevel="0" collapsed="false">
      <c r="A7" s="81" t="s">
        <v>185</v>
      </c>
      <c r="B7" s="82" t="n">
        <f aca="false">COUNTIF(Schedule!E12:E57,A7)</f>
        <v>0</v>
      </c>
      <c r="C7" s="82" t="n">
        <f aca="false">SUMIF(Schedule!E12:E57,A7,Schedule!I12:I57)</f>
        <v>0</v>
      </c>
      <c r="D7" s="83" t="n">
        <f aca="false">_xlfn.MINIFS(Schedule!J12:J57,Schedule!E12:E57,A7)</f>
        <v>0</v>
      </c>
      <c r="E7" s="83" t="n">
        <f aca="false">_xlfn.MAXIFS(Schedule!K12:K57,Schedule!E12:E57,A7)</f>
        <v>0</v>
      </c>
      <c r="F7" s="84" t="s">
        <v>295</v>
      </c>
      <c r="G7" s="72" t="n">
        <f aca="false">IF(COUNT(D7:E7)=2,NETWORKDAYS(D7,E7),"")</f>
        <v>0</v>
      </c>
      <c r="H7" s="72" t="n">
        <f aca="false">IF(COUNT(D7:E7)=2,E7-D7+1,"")</f>
        <v>1</v>
      </c>
    </row>
    <row r="8" customFormat="false" ht="31.5" hidden="false" customHeight="true" outlineLevel="0" collapsed="false">
      <c r="A8" s="68" t="s">
        <v>272</v>
      </c>
      <c r="B8" s="69" t="n">
        <f aca="false">COUNTIF(Schedule!E12:E57,A8)</f>
        <v>0</v>
      </c>
      <c r="C8" s="69" t="n">
        <f aca="false">SUMIF(Schedule!E12:E57,A8,Schedule!I12:I57)</f>
        <v>0</v>
      </c>
      <c r="D8" s="70" t="n">
        <f aca="false">_xlfn.MINIFS(Schedule!J12:J57,Schedule!E12:E57,A8)</f>
        <v>0</v>
      </c>
      <c r="E8" s="70" t="n">
        <f aca="false">_xlfn.MAXIFS(Schedule!K12:K57,Schedule!E12:E57,A8)</f>
        <v>0</v>
      </c>
      <c r="F8" s="71" t="s">
        <v>296</v>
      </c>
      <c r="G8" s="72" t="n">
        <f aca="false">IF(COUNT(D8:E8)=2,NETWORKDAYS(D8,E8),"")</f>
        <v>0</v>
      </c>
      <c r="H8" s="72" t="n">
        <f aca="false">IF(COUNT(D8:E8)=2,E8-D8+1,"")</f>
        <v>1</v>
      </c>
    </row>
    <row r="9" customFormat="false" ht="25.5" hidden="false" customHeight="true" outlineLevel="0" collapsed="false">
      <c r="A9" s="85" t="s">
        <v>297</v>
      </c>
      <c r="B9" s="86" t="n">
        <f aca="false">SUM(B4:B8)</f>
        <v>0</v>
      </c>
      <c r="C9" s="86" t="n">
        <f aca="false">SUM(C4:C8)</f>
        <v>0</v>
      </c>
      <c r="D9" s="87" t="n">
        <f aca="false">MIN(D4:D8)</f>
        <v>0</v>
      </c>
      <c r="E9" s="87" t="n">
        <f aca="false">MAX(E4:E8)</f>
        <v>0</v>
      </c>
      <c r="F9" s="88" t="s">
        <v>298</v>
      </c>
    </row>
    <row r="10" customFormat="false" ht="25.5" hidden="false" customHeight="true" outlineLevel="0" collapsed="false">
      <c r="A10" s="89" t="s">
        <v>299</v>
      </c>
      <c r="B10" s="90"/>
      <c r="C10" s="91" t="n">
        <f aca="false">NETWORKDAYS(D10, E10)</f>
        <v>0</v>
      </c>
      <c r="D10" s="92" t="n">
        <f aca="false">MIN(D4:D8)</f>
        <v>0</v>
      </c>
      <c r="E10" s="92" t="n">
        <f aca="false">MAX(E4:E8)</f>
        <v>0</v>
      </c>
      <c r="F10" s="93" t="s">
        <v>300</v>
      </c>
      <c r="G10" s="72" t="n">
        <f aca="false">NETWORKDAYS(D10,E10)</f>
        <v>0</v>
      </c>
      <c r="H10" s="72" t="n">
        <f aca="false">E10-D10+1</f>
        <v>1</v>
      </c>
    </row>
    <row r="13" customFormat="false" ht="24" hidden="false" customHeight="true" outlineLevel="0" collapsed="false">
      <c r="A13" s="94" t="s">
        <v>301</v>
      </c>
      <c r="B13" s="94"/>
      <c r="C13" s="94"/>
      <c r="D13" s="94"/>
      <c r="E13" s="94"/>
      <c r="F13" s="94"/>
    </row>
    <row r="14" customFormat="false" ht="27.75" hidden="false" customHeight="true" outlineLevel="0" collapsed="false">
      <c r="A14" s="95" t="s">
        <v>83</v>
      </c>
      <c r="B14" s="95" t="s">
        <v>285</v>
      </c>
      <c r="C14" s="95" t="s">
        <v>302</v>
      </c>
      <c r="D14" s="95" t="s">
        <v>303</v>
      </c>
      <c r="E14" s="95" t="s">
        <v>304</v>
      </c>
      <c r="F14" s="95" t="s">
        <v>289</v>
      </c>
    </row>
    <row r="15" customFormat="false" ht="30" hidden="false" customHeight="true" outlineLevel="0" collapsed="false">
      <c r="A15" s="96" t="s">
        <v>148</v>
      </c>
      <c r="B15" s="97" t="n">
        <f aca="false">COUNTIF(Schedule!D12:D57,A15)</f>
        <v>0</v>
      </c>
      <c r="C15" s="97" t="n">
        <f aca="false">SUMIF(Schedule!D12:D57,A15,Schedule!I12:I57)</f>
        <v>0</v>
      </c>
      <c r="D15" s="98" t="n">
        <f aca="false">_xlfn.MINIFS(Schedule!J12:J57,Schedule!D12:D57,A15)</f>
        <v>0</v>
      </c>
      <c r="E15" s="98" t="n">
        <f aca="false">_xlfn.MAXIFS(Schedule!K12:K57,Schedule!D12:D57,A15)</f>
        <v>0</v>
      </c>
      <c r="F15" s="99" t="s">
        <v>305</v>
      </c>
    </row>
    <row r="16" customFormat="false" ht="30" hidden="false" customHeight="true" outlineLevel="0" collapsed="false">
      <c r="A16" s="100" t="s">
        <v>77</v>
      </c>
      <c r="B16" s="101" t="n">
        <f aca="false">COUNTIF(Schedule!D12:D57,A16)</f>
        <v>0</v>
      </c>
      <c r="C16" s="101" t="n">
        <f aca="false">SUMIF(Schedule!D12:D57,A16,Schedule!I12:I57)</f>
        <v>0</v>
      </c>
      <c r="D16" s="102" t="n">
        <f aca="false">_xlfn.MINIFS(Schedule!J12:J57,Schedule!D12:D57,A16)</f>
        <v>0</v>
      </c>
      <c r="E16" s="102" t="n">
        <f aca="false">_xlfn.MAXIFS(Schedule!K12:K57,Schedule!D12:D57,A16)</f>
        <v>0</v>
      </c>
      <c r="F16" s="103" t="s">
        <v>306</v>
      </c>
    </row>
    <row r="17" customFormat="false" ht="30" hidden="false" customHeight="true" outlineLevel="0" collapsed="false">
      <c r="A17" s="104" t="s">
        <v>104</v>
      </c>
      <c r="B17" s="105" t="n">
        <f aca="false">COUNTIF(Schedule!D12:D57,A17)</f>
        <v>0</v>
      </c>
      <c r="C17" s="105" t="n">
        <f aca="false">SUMIF(Schedule!D12:D57,A17,Schedule!I12:I57)</f>
        <v>0</v>
      </c>
      <c r="D17" s="106" t="n">
        <f aca="false">_xlfn.MINIFS(Schedule!J12:J57,Schedule!D12:D57,A17)</f>
        <v>0</v>
      </c>
      <c r="E17" s="106" t="n">
        <f aca="false">_xlfn.MAXIFS(Schedule!K12:K57,Schedule!D12:D57,A17)</f>
        <v>0</v>
      </c>
      <c r="F17" s="107" t="s">
        <v>307</v>
      </c>
    </row>
    <row r="20" customFormat="false" ht="24" hidden="false" customHeight="true" outlineLevel="0" collapsed="false">
      <c r="A20" s="94" t="s">
        <v>308</v>
      </c>
      <c r="B20" s="94"/>
      <c r="C20" s="94"/>
      <c r="D20" s="94"/>
      <c r="E20" s="94"/>
      <c r="F20" s="94"/>
    </row>
    <row r="21" customFormat="false" ht="27.75" hidden="false" customHeight="true" outlineLevel="0" collapsed="false">
      <c r="A21" s="95" t="s">
        <v>82</v>
      </c>
      <c r="B21" s="95" t="s">
        <v>285</v>
      </c>
      <c r="C21" s="95" t="s">
        <v>302</v>
      </c>
      <c r="D21" s="95" t="s">
        <v>303</v>
      </c>
      <c r="E21" s="95" t="s">
        <v>304</v>
      </c>
      <c r="F21" s="95" t="s">
        <v>289</v>
      </c>
    </row>
    <row r="22" customFormat="false" ht="27.75" hidden="false" customHeight="true" outlineLevel="0" collapsed="false">
      <c r="A22" s="108" t="s">
        <v>103</v>
      </c>
      <c r="B22" s="109" t="n">
        <f aca="false">COUNTIF(Schedule!C12:C57,A22)</f>
        <v>0</v>
      </c>
      <c r="C22" s="109" t="n">
        <f aca="false">SUMIF(Schedule!C12:C57,A22,Schedule!I12:I57)</f>
        <v>0</v>
      </c>
      <c r="D22" s="110" t="n">
        <f aca="false">_xlfn.MINIFS(Schedule!J12:J57,Schedule!C12:C57,A22)</f>
        <v>0</v>
      </c>
      <c r="E22" s="110" t="n">
        <f aca="false">_xlfn.MAXIFS(Schedule!K12:K57,Schedule!C12:C57,A22)</f>
        <v>0</v>
      </c>
      <c r="F22" s="111" t="s">
        <v>309</v>
      </c>
    </row>
    <row r="23" customFormat="false" ht="27.75" hidden="false" customHeight="true" outlineLevel="0" collapsed="false">
      <c r="A23" s="112" t="s">
        <v>193</v>
      </c>
      <c r="B23" s="113" t="n">
        <f aca="false">COUNTIF(Schedule!C12:C57,A23)</f>
        <v>0</v>
      </c>
      <c r="C23" s="113" t="n">
        <f aca="false">SUMIF(Schedule!C12:C57,A23,Schedule!I12:I57)</f>
        <v>0</v>
      </c>
      <c r="D23" s="114" t="n">
        <f aca="false">_xlfn.MINIFS(Schedule!J12:J57,Schedule!C12:C57,A23)</f>
        <v>0</v>
      </c>
      <c r="E23" s="114" t="n">
        <f aca="false">_xlfn.MAXIFS(Schedule!K12:K57,Schedule!C12:C57,A23)</f>
        <v>0</v>
      </c>
      <c r="F23" s="115" t="s">
        <v>310</v>
      </c>
    </row>
    <row r="24" customFormat="false" ht="27.75" hidden="false" customHeight="true" outlineLevel="0" collapsed="false">
      <c r="A24" s="116" t="s">
        <v>118</v>
      </c>
      <c r="B24" s="117" t="n">
        <f aca="false">COUNTIF(Schedule!C12:C57,A24)</f>
        <v>0</v>
      </c>
      <c r="C24" s="117" t="n">
        <f aca="false">SUMIF(Schedule!C12:C57,A24,Schedule!I12:I57)</f>
        <v>0</v>
      </c>
      <c r="D24" s="118" t="n">
        <f aca="false">_xlfn.MINIFS(Schedule!J12:J57,Schedule!C12:C57,A24)</f>
        <v>0</v>
      </c>
      <c r="E24" s="118" t="n">
        <f aca="false">_xlfn.MAXIFS(Schedule!K12:K57,Schedule!C12:C57,A24)</f>
        <v>0</v>
      </c>
      <c r="F24" s="119" t="s">
        <v>311</v>
      </c>
    </row>
  </sheetData>
  <mergeCells count="3">
    <mergeCell ref="A1:F1"/>
    <mergeCell ref="A13:F13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3" activeCellId="0" sqref="A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30" hidden="false" customHeight="true" outlineLevel="0" collapsed="false">
      <c r="A1" s="65" t="s">
        <v>312</v>
      </c>
      <c r="B1" s="65"/>
      <c r="C1" s="65"/>
    </row>
    <row r="3" customFormat="false" ht="30" hidden="false" customHeight="true" outlineLevel="0" collapsed="false">
      <c r="A3" s="120" t="s">
        <v>313</v>
      </c>
      <c r="B3" s="120" t="s">
        <v>314</v>
      </c>
      <c r="C3" s="120" t="s">
        <v>315</v>
      </c>
    </row>
    <row r="4" customFormat="false" ht="36" hidden="false" customHeight="true" outlineLevel="0" collapsed="false">
      <c r="A4" s="121" t="s">
        <v>316</v>
      </c>
      <c r="B4" s="122" t="s">
        <v>317</v>
      </c>
      <c r="C4" s="76" t="s">
        <v>318</v>
      </c>
    </row>
    <row r="5" customFormat="false" ht="36" hidden="false" customHeight="true" outlineLevel="0" collapsed="false">
      <c r="A5" s="123" t="s">
        <v>319</v>
      </c>
      <c r="B5" s="124" t="s">
        <v>320</v>
      </c>
      <c r="C5" s="125" t="s">
        <v>321</v>
      </c>
    </row>
    <row r="6" customFormat="false" ht="36" hidden="false" customHeight="true" outlineLevel="0" collapsed="false">
      <c r="A6" s="121" t="s">
        <v>322</v>
      </c>
      <c r="B6" s="122" t="s">
        <v>323</v>
      </c>
      <c r="C6" s="76" t="s">
        <v>324</v>
      </c>
    </row>
    <row r="7" customFormat="false" ht="36" hidden="false" customHeight="true" outlineLevel="0" collapsed="false">
      <c r="A7" s="123" t="s">
        <v>325</v>
      </c>
      <c r="B7" s="124" t="s">
        <v>326</v>
      </c>
      <c r="C7" s="125" t="s">
        <v>327</v>
      </c>
    </row>
    <row r="8" customFormat="false" ht="36" hidden="false" customHeight="true" outlineLevel="0" collapsed="false">
      <c r="A8" s="121" t="s">
        <v>328</v>
      </c>
      <c r="B8" s="122" t="s">
        <v>329</v>
      </c>
      <c r="C8" s="76" t="s">
        <v>330</v>
      </c>
    </row>
    <row r="9" customFormat="false" ht="36" hidden="false" customHeight="true" outlineLevel="0" collapsed="false">
      <c r="A9" s="123" t="s">
        <v>331</v>
      </c>
      <c r="B9" s="124" t="s">
        <v>332</v>
      </c>
      <c r="C9" s="125" t="s">
        <v>333</v>
      </c>
    </row>
    <row r="10" customFormat="false" ht="36" hidden="false" customHeight="true" outlineLevel="0" collapsed="false">
      <c r="A10" s="121" t="s">
        <v>334</v>
      </c>
      <c r="B10" s="122" t="s">
        <v>335</v>
      </c>
      <c r="C10" s="76" t="s">
        <v>336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2026-05-14T16:38:58Z</dcterms:created>
  <dc:creator>openpyxl</dc:creator>
  <dc:description/>
  <dc:language>en-US</dc:language>
  <cp:lastModifiedBy>Delondi Kintaudi</cp:lastModifiedBy>
  <dcterms:modified xsi:type="dcterms:W3CDTF">2026-06-17T08:53:33Z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