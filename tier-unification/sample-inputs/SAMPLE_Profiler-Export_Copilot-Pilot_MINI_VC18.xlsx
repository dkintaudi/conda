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file" sheetId="1" r:id="rId1"/>
    <sheet name="Intake Answers" sheetId="2" r:id="rId2"/>
    <sheet name="SIMM Complexity" sheetId="3" r:id="rId3"/>
    <sheet name="Documents" sheetId="4" r:id="rId4"/>
    <sheet name="Maps" sheetId="5" r:id="rId5"/>
    <sheet name="Engagement Matrix" sheetId="6" r:id="rId6"/>
    <sheet name="Glossary" sheetId="7" r:id="rId7"/>
    <sheet name="CA-PMF Templates" sheetId="8" r:id="rId8"/>
    <sheet name="Templates" sheetId="9" r:id="rId9" state="hidden"/>
    <sheet name="Fields" sheetId="10" r:id="rId10" state="hidden"/>
    <sheet name="Loops" sheetId="11" r:id="rId11" state="hidden"/>
    <sheet name="Contradictions" sheetId="12" r:id="rId12" state="hidden"/>
  </sheets>
  <definedNames>
    <definedName name="_xlnm.Print_Area" localSheetId="0">Profile!$A$1:$B$28</definedName>
    <definedName name="_xlnm.Print_Area" localSheetId="1">'Intake Answers'!$A$1:$D$35</definedName>
    <definedName name="_xlnm.Print_Area" localSheetId="2">'SIMM Complexity'!$A$1:$K$23</definedName>
    <definedName name="_xlnm.Print_Area" localSheetId="3">Documents!$A$1:$E$44</definedName>
    <definedName name="_xlnm.Print_Area" localSheetId="4">Maps!$A$1:$K$38</definedName>
    <definedName name="_xlnm.Print_Area" localSheetId="5">'Engagement Matrix'!$A$1:$H$37</definedName>
    <definedName name="_xlnm.Print_Area" localSheetId="6">Glossary!$A$1:$B$48</definedName>
    <definedName name="_xlnm.Print_Area" localSheetId="7">'CA-PMF Templates'!$A$1:$B$49</definedName>
    <definedName name="_xlnm.Print_Area" localSheetId="8">Templates!$A$1:$B$32</definedName>
    <definedName name="_xlnm.Print_Area" localSheetId="9">Fields!$A$1:$B$89</definedName>
    <definedName name="_xlnm.Print_Area" localSheetId="10">Loops!$A$1:$B$40</definedName>
    <definedName name="_xlnm.Print_Area" localSheetId="11">Contradictions!$A$1:$B$5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98" x14ac:knownFonts="1">
    <font>
      <sz val="11"/>
      <name val="Calibri"/>
    </font>
    <font>
      <sz val="11"/>
      <name val="Calibri"/>
    </font>
    <font>
      <sz val="9"/>
      <name val="Calibri"/>
      <b/>
      <color rgb="FFFFFF"/>
    </font>
    <font>
      <sz val="16"/>
      <name val="Calibri"/>
      <b/>
      <color rgb="FFFFFF"/>
    </font>
    <font>
      <sz val="10"/>
      <name val="Calibri"/>
      <color rgb="16202E"/>
    </font>
    <font>
      <sz val="10"/>
      <name val="Calibri"/>
      <b/>
      <color rgb="16202E"/>
    </font>
    <font>
      <sz val="20"/>
      <name val="Calibri"/>
      <b/>
      <color rgb="1F6F6A"/>
    </font>
    <font>
      <sz val="10"/>
      <name val="Calibri"/>
      <b/>
      <color rgb="12504C"/>
    </font>
    <font>
      <sz val="11"/>
      <name val="Calibri"/>
      <b/>
      <color rgb="FFFFFF"/>
    </font>
    <font>
      <sz val="10"/>
      <name val="Calibri"/>
      <color rgb="16202E"/>
    </font>
    <font>
      <sz val="10"/>
      <name val="Calibri"/>
      <color rgb="16202E"/>
    </font>
    <font>
      <sz val="8"/>
      <name val="Calibri"/>
      <i/>
      <color rgb="9AA0A6"/>
    </font>
    <font>
      <sz val="9"/>
      <name val="Calibri"/>
      <b/>
      <color rgb="FFFFFF"/>
    </font>
    <font>
      <sz val="10"/>
      <name val="Calibri"/>
      <b/>
      <color rgb="FFFFFF"/>
    </font>
    <font>
      <sz val="10"/>
      <name val="Calibri"/>
      <b/>
      <color rgb="1F6F6A"/>
    </font>
    <font>
      <sz val="10"/>
      <name val="Calibri"/>
      <b/>
      <color rgb="1F6F6A"/>
    </font>
    <font>
      <sz val="10"/>
      <name val="Calibri"/>
      <color rgb="16202E"/>
    </font>
    <font>
      <sz val="9"/>
      <name val="Calibri"/>
    </font>
    <font>
      <sz val="9"/>
      <name val="Calibri"/>
      <b/>
      <color rgb="1F6F6A"/>
    </font>
    <font>
      <sz val="8"/>
      <name val="Calibri"/>
      <color rgb="4A5260"/>
    </font>
    <font>
      <sz val="9"/>
      <name val="Calibri"/>
      <b/>
      <color rgb="C8973F"/>
    </font>
    <font>
      <sz val="10"/>
      <name val="Calibri"/>
      <color rgb="16202E"/>
    </font>
    <font>
      <sz val="9"/>
      <name val="Calibri"/>
      <b/>
      <color rgb="1F6F6A"/>
    </font>
    <font>
      <sz val="8"/>
      <name val="Calibri"/>
      <color rgb="4A5260"/>
    </font>
    <font>
      <sz val="9"/>
      <name val="Calibri"/>
      <b/>
      <color rgb="C8973F"/>
    </font>
    <font>
      <sz val="10"/>
      <name val="Calibri"/>
      <color rgb="16202E"/>
    </font>
    <font>
      <sz val="9"/>
      <name val="Calibri"/>
      <b/>
      <color rgb="12504C"/>
    </font>
    <font>
      <sz val="8"/>
      <name val="Calibri"/>
      <i/>
      <color rgb="5A6472"/>
    </font>
    <font>
      <sz val="10"/>
      <name val="Calibri"/>
      <b/>
      <color rgb="FFFFFF"/>
    </font>
    <font>
      <sz val="9"/>
      <name val="Calibri"/>
      <b/>
      <color rgb="8A5A12"/>
    </font>
    <font>
      <sz val="9"/>
      <name val="Calibri"/>
      <b/>
      <color rgb="FFFFFF"/>
    </font>
    <font>
      <sz val="8"/>
      <name val="Calibri"/>
      <i/>
      <color rgb="9AA0A6"/>
    </font>
    <font>
      <sz val="13"/>
      <name val="Calibri"/>
      <b/>
      <color rgb="FFFFFF"/>
    </font>
    <font>
      <sz val="10"/>
      <name val="Calibri"/>
      <b/>
      <color rgb="FFFFFF"/>
    </font>
    <font>
      <sz val="8"/>
      <name val="Calibri"/>
      <color rgb="9AA0A6"/>
    </font>
    <font>
      <sz val="9"/>
      <name val="Calibri"/>
      <color rgb="27506F"/>
    </font>
    <font>
      <sz val="9"/>
      <name val="Calibri"/>
      <color rgb="27506F"/>
    </font>
    <font>
      <sz val="9"/>
      <name val="Calibri"/>
      <color rgb="27506F"/>
    </font>
    <font>
      <sz val="9"/>
      <name val="Calibri"/>
      <color rgb="27506F"/>
    </font>
    <font>
      <sz val="9"/>
      <name val="Calibri"/>
      <color rgb="27506F"/>
    </font>
    <font>
      <sz val="11"/>
      <name val="Calibri"/>
      <b/>
      <color rgb="27506F"/>
    </font>
    <font>
      <sz val="9"/>
      <name val="Calibri"/>
      <color rgb="27506F"/>
    </font>
    <font>
      <sz val="9"/>
      <name val="Calibri"/>
      <color rgb="27506F"/>
    </font>
    <font>
      <sz val="9"/>
      <name val="Calibri"/>
      <color rgb="27506F"/>
    </font>
    <font>
      <sz val="11"/>
      <name val="Calibri"/>
      <b/>
      <color rgb="27506F"/>
    </font>
    <font>
      <sz val="8"/>
      <name val="Calibri"/>
      <b/>
      <color rgb="12504C"/>
    </font>
    <font>
      <sz val="14"/>
      <name val="Calibri"/>
      <b/>
      <color rgb="FFFFFF"/>
    </font>
    <font>
      <sz val="8"/>
      <name val="Calibri"/>
      <i/>
      <color rgb="9AA0A6"/>
    </font>
    <font>
      <sz val="10"/>
      <name val="Calibri"/>
      <b/>
      <color rgb="16202E"/>
    </font>
    <font>
      <sz val="10"/>
      <name val="Calibri"/>
      <color rgb="12504C"/>
    </font>
    <font>
      <sz val="9"/>
      <name val="Calibri"/>
    </font>
    <font>
      <sz val="9"/>
      <name val="Calibri"/>
    </font>
    <font>
      <sz val="9"/>
      <name val="Calibri"/>
    </font>
    <font>
      <sz val="9"/>
      <name val="Calibri"/>
    </font>
    <font>
      <sz val="11"/>
      <name val="Calibri"/>
      <b/>
      <color rgb="8A93A0"/>
    </font>
    <font>
      <sz val="11"/>
      <name val="Calibri"/>
      <b/>
      <color rgb="8A93A0"/>
    </font>
    <font>
      <sz val="9"/>
      <name val="Calibri"/>
    </font>
    <font>
      <sz val="9"/>
      <name val="Calibri"/>
    </font>
    <font>
      <sz val="11"/>
      <name val="Calibri"/>
      <b/>
      <color rgb="8A93A0"/>
    </font>
    <font>
      <sz val="7.5"/>
      <name val="Calibri"/>
      <i/>
      <color rgb="5A6472"/>
    </font>
    <font>
      <sz val="8"/>
      <name val="Calibri"/>
      <b/>
      <color rgb="FFFFFF"/>
    </font>
    <font>
      <sz val="8"/>
      <name val="Calibri"/>
      <b/>
      <color rgb="FFFFFF"/>
    </font>
    <font>
      <sz val="8"/>
      <name val="Calibri"/>
      <b/>
      <color rgb="FFFFFF"/>
    </font>
    <font>
      <sz val="8"/>
      <name val="Calibri"/>
      <b/>
      <color rgb="FFFFFF"/>
    </font>
    <font>
      <sz val="8"/>
      <name val="Calibri"/>
      <b/>
      <color rgb="FFFFFF"/>
    </font>
    <font>
      <sz val="8"/>
      <name val="Calibri"/>
      <b/>
      <color rgb="FFFFFF"/>
    </font>
    <font>
      <sz val="8"/>
      <name val="Calibri"/>
      <b/>
      <color rgb="FFFFFF"/>
    </font>
    <font>
      <sz val="8"/>
      <name val="Calibri"/>
      <b/>
      <color rgb="12504C"/>
    </font>
    <font>
      <sz val="8"/>
      <name val="Calibri"/>
      <color rgb="16202E"/>
    </font>
    <font>
      <sz val="8"/>
      <name val="Calibri"/>
      <b/>
      <color rgb="1F6F6A"/>
    </font>
    <font>
      <sz val="8"/>
      <name val="Calibri"/>
      <color rgb="7A5C00"/>
    </font>
    <font>
      <sz val="8"/>
      <name val="Calibri"/>
      <color rgb="5A6472"/>
    </font>
    <font>
      <sz val="8"/>
      <name val="Calibri"/>
      <color rgb="27506F"/>
    </font>
    <font>
      <sz val="8"/>
      <name val="Calibri"/>
      <b/>
      <color rgb="12504C"/>
    </font>
    <font>
      <sz val="8"/>
      <name val="Calibri"/>
      <color rgb="16202E"/>
    </font>
    <font>
      <sz val="8"/>
      <name val="Calibri"/>
      <b/>
      <color rgb="1F6F6A"/>
    </font>
    <font>
      <sz val="8"/>
      <name val="Calibri"/>
      <color rgb="7A5C00"/>
    </font>
    <font>
      <sz val="8"/>
      <name val="Calibri"/>
      <color rgb="5A6472"/>
    </font>
    <font>
      <sz val="8"/>
      <name val="Calibri"/>
      <color rgb="27506F"/>
    </font>
    <font>
      <sz val="8"/>
      <name val="Calibri"/>
      <b/>
      <color rgb="FFFFFF"/>
    </font>
    <font>
      <sz val="8"/>
      <name val="Calibri"/>
      <color rgb="16202E"/>
    </font>
    <font>
      <sz val="8"/>
      <name val="Calibri"/>
      <b/>
      <color rgb="12504C"/>
    </font>
    <font>
      <sz val="8"/>
      <name val="Calibri"/>
      <b/>
      <color rgb="1F6F6A"/>
    </font>
    <font>
      <sz val="8"/>
      <name val="Calibri"/>
      <color rgb="7A5C00"/>
    </font>
    <font>
      <sz val="8"/>
      <name val="Calibri"/>
      <color rgb="5A6472"/>
    </font>
    <font>
      <sz val="8"/>
      <name val="Calibri"/>
      <color rgb="27506F"/>
    </font>
    <font>
      <sz val="9"/>
      <name val="Calibri"/>
      <b/>
      <color rgb="FFFFFF"/>
    </font>
    <font>
      <sz val="8"/>
      <name val="Calibri"/>
      <b/>
      <color rgb="8A5A12"/>
    </font>
    <font>
      <sz val="8"/>
      <name val="Calibri"/>
      <b/>
      <color rgb="8A5A12"/>
    </font>
    <font>
      <sz val="9"/>
      <name val="Calibri"/>
      <b/>
      <color rgb="FFFFFF"/>
    </font>
    <font>
      <sz val="8.5"/>
      <name val="Calibri"/>
      <b/>
      <color rgb="12504C"/>
    </font>
    <font>
      <sz val="8.5"/>
      <name val="Calibri"/>
      <color rgb="16202E"/>
    </font>
    <font>
      <sz val="8.5"/>
      <name val="Calibri"/>
      <b/>
      <color rgb="12504C"/>
    </font>
    <font>
      <sz val="8.5"/>
      <name val="Calibri"/>
      <color rgb="16202E"/>
    </font>
    <font>
      <sz val="8.5"/>
      <name val="Calibri"/>
      <b/>
      <color rgb="12504C"/>
    </font>
    <font>
      <sz val="8.5"/>
      <name val="Calibri"/>
      <color rgb="16202E"/>
    </font>
    <font>
      <sz val="9"/>
      <name val="Calibri"/>
      <b/>
      <color rgb="2C623F"/>
    </font>
    <font>
      <sz val="9"/>
      <name val="Calibri"/>
      <b/>
      <color rgb="3A5A78"/>
    </font>
  </fonts>
  <fills count="71">
    <fill>
      <patternFill patternType="none">
        <bgColor/>
      </patternFill>
    </fill>
    <fill>
      <patternFill patternType="gray125">
        <bgColor/>
      </patternFill>
    </fill>
    <fill>
      <patternFill patternType="solid">
        <fgColor rgb="FF12504C"/>
        <bgColor/>
      </patternFill>
    </fill>
    <fill>
      <patternFill patternType="solid">
        <fgColor rgb="FF1F6F6A"/>
        <bgColor/>
      </patternFill>
    </fill>
    <fill>
      <patternFill patternType="solid">
        <fgColor rgb="FFEAF3F1"/>
        <bgColor/>
      </patternFill>
    </fill>
    <fill>
      <patternFill patternType="solid">
        <fgColor rgb="FF12504C"/>
        <bgColor/>
      </patternFill>
    </fill>
    <fill>
      <patternFill patternType="solid">
        <fgColor rgb="FF12504C"/>
        <bgColor/>
      </patternFill>
    </fill>
    <fill>
      <patternFill patternType="solid">
        <fgColor rgb="FF16202E"/>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12504C"/>
        <bgColor/>
      </patternFill>
    </fill>
    <fill>
      <patternFill patternType="solid">
        <fgColor rgb="FFFCEFD6"/>
        <bgColor/>
      </patternFill>
    </fill>
    <fill>
      <patternFill patternType="solid">
        <fgColor rgb="FF1F6F6A"/>
        <bgColor/>
      </patternFill>
    </fill>
    <fill>
      <patternFill patternType="solid">
        <fgColor rgb="FF1F6F6A"/>
        <bgColor/>
      </patternFill>
    </fill>
    <fill>
      <patternFill patternType="solid">
        <fgColor rgb="FF12504C"/>
        <bgColor/>
      </patternFill>
    </fill>
    <fill>
      <patternFill patternType="solid">
        <fgColor rgb="FF9DC3E6"/>
        <bgColor/>
      </patternFill>
    </fill>
    <fill>
      <patternFill patternType="solid">
        <fgColor rgb="FF9DC3E6"/>
        <bgColor/>
      </patternFill>
    </fill>
    <fill>
      <patternFill patternType="solid">
        <fgColor rgb="FF9DC3E6"/>
        <bgColor/>
      </patternFill>
    </fill>
    <fill>
      <patternFill patternType="solid">
        <fgColor rgb="FFC5DBF0"/>
        <bgColor/>
      </patternFill>
    </fill>
    <fill>
      <patternFill patternType="solid">
        <fgColor rgb="FFC5DBF0"/>
        <bgColor/>
      </patternFill>
    </fill>
    <fill>
      <patternFill patternType="solid">
        <fgColor rgb="FFC5DBF0"/>
        <bgColor/>
      </patternFill>
    </fill>
    <fill>
      <patternFill patternType="solid">
        <fgColor rgb="FFC5DBF0"/>
        <bgColor/>
      </patternFill>
    </fill>
    <fill>
      <patternFill patternType="solid">
        <fgColor rgb="FFE4EEF7"/>
        <bgColor/>
      </patternFill>
    </fill>
    <fill>
      <patternFill patternType="solid">
        <fgColor rgb="FFE4EEF7"/>
        <bgColor/>
      </patternFill>
    </fill>
    <fill>
      <patternFill patternType="solid">
        <fgColor rgb="FFE4EEF7"/>
        <bgColor/>
      </patternFill>
    </fill>
    <fill>
      <patternFill patternType="solid">
        <fgColor rgb="FF0B5394"/>
        <bgColor/>
      </patternFill>
    </fill>
    <fill>
      <patternFill patternType="solid">
        <fgColor rgb="FFC5DBF0"/>
        <bgColor/>
      </patternFill>
    </fill>
    <fill>
      <patternFill patternType="solid">
        <fgColor rgb="FFC5DBF0"/>
        <bgColor/>
      </patternFill>
    </fill>
    <fill>
      <patternFill patternType="solid">
        <fgColor rgb="FF5B9BD5"/>
        <bgColor/>
      </patternFill>
    </fill>
    <fill>
      <patternFill patternType="solid">
        <fgColor rgb="FF5B9BD5"/>
        <bgColor/>
      </patternFill>
    </fill>
    <fill>
      <patternFill patternType="solid">
        <fgColor rgb="FFC5DBF0"/>
        <bgColor/>
      </patternFill>
    </fill>
    <fill>
      <patternFill patternType="solid">
        <fgColor rgb="FF5B9BD5"/>
        <bgColor/>
      </patternFill>
    </fill>
    <fill>
      <patternFill patternType="solid">
        <fgColor rgb="FFE4EEF7"/>
        <bgColor/>
      </patternFill>
    </fill>
    <fill>
      <patternFill patternType="solid">
        <fgColor rgb="FFE4EEF7"/>
        <bgColor/>
      </patternFill>
    </fill>
    <fill>
      <patternFill patternType="solid">
        <fgColor rgb="FFE4EEF7"/>
        <bgColor/>
      </patternFill>
    </fill>
    <fill>
      <patternFill patternType="solid">
        <fgColor rgb="FF12504C"/>
        <bgColor/>
      </patternFill>
    </fill>
    <fill>
      <patternFill patternType="solid">
        <fgColor rgb="FF12504C"/>
        <bgColor/>
      </patternFill>
    </fill>
    <fill>
      <patternFill patternType="solid">
        <fgColor rgb="FF12504C"/>
        <bgColor/>
      </patternFill>
    </fill>
    <fill>
      <patternFill patternType="solid">
        <fgColor rgb="FF1F6F6A"/>
        <bgColor/>
      </patternFill>
    </fill>
    <fill>
      <patternFill patternType="solid">
        <fgColor rgb="FFC8973F"/>
        <bgColor/>
      </patternFill>
    </fill>
    <fill>
      <patternFill patternType="solid">
        <fgColor rgb="FF5A6472"/>
        <bgColor/>
      </patternFill>
    </fill>
    <fill>
      <patternFill patternType="solid">
        <fgColor rgb="FF27506F"/>
        <bgColor/>
      </patternFill>
    </fill>
    <fill>
      <patternFill patternType="solid">
        <fgColor rgb="FF1F6F6A"/>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1F6F6A"/>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7A5320"/>
        <bgColor/>
      </patternFill>
    </fill>
    <fill>
      <patternFill patternType="solid">
        <fgColor rgb="FF7A5320"/>
        <bgColor/>
      </patternFill>
    </fill>
    <fill>
      <patternFill patternType="solid">
        <fgColor rgb="FFFCEFD6"/>
        <bgColor/>
      </patternFill>
    </fill>
    <fill>
      <patternFill patternType="solid">
        <fgColor rgb="FFFCEFD6"/>
        <bgColor/>
      </patternFill>
    </fill>
    <fill>
      <patternFill patternType="solid">
        <fgColor rgb="FF12504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F4F2EC"/>
        <bgColor/>
      </patternFill>
    </fill>
    <fill>
      <patternFill patternType="solid">
        <fgColor rgb="FFE2EFE4"/>
        <bgColor/>
      </patternFill>
    </fill>
    <fill>
      <patternFill patternType="solid">
        <fgColor rgb="FFEEF2F7"/>
        <bgColor/>
      </patternFill>
    </fill>
  </fills>
  <borders count="5">
    <border>
      <left/>
      <right/>
      <top/>
      <bottom/>
      <diagonal/>
    </border>
    <border>
      <left/>
      <right/>
      <top/>
      <bottom/>
      <diagonal/>
    </border>
    <border>
      <left/>
      <right style="medium">
        <color rgb="27506F"/>
      </right>
      <top/>
      <bottom/>
      <diagonal/>
    </border>
    <border>
      <left/>
      <right style="medium">
        <color rgb="27506F"/>
      </right>
      <top/>
      <bottom/>
      <diagonal/>
    </border>
    <border>
      <left style="thin">
        <color rgb="FFFFFF"/>
      </left>
      <right style="thin">
        <color rgb="FFFFFF"/>
      </right>
      <top style="thin">
        <color rgb="FFFFFF"/>
      </top>
      <bottom style="thin">
        <color rgb="FFFFFF"/>
      </bottom>
      <diagonal/>
    </border>
  </borders>
  <cellStyleXfs>
    <xf numFmtId="0" fontId="0" fillId="0" borderId="0"/>
  </cellStyleXfs>
  <cellXfs count="101">
    <xf numFmtId="0" fontId="0" fillId="0" borderId="0" xfId="0"/>
    <xf numFmtId="0" fontId="1" fillId="1" borderId="1" xfId="0" applyFont="1" applyFill="1" applyBorder="1"/>
    <xf numFmtId="0" fontId="0" fillId="0" borderId="0" xfId="0"/>
    <xf numFmtId="0" fontId="2" fillId="2" borderId="0" xfId="0" applyFont="1" applyFill="1" applyAlignment="1">
      <alignment vertical="center"/>
    </xf>
    <xf numFmtId="0" fontId="3" fillId="3" borderId="0" xfId="0" applyFont="1" applyFill="1" applyAlignment="1">
      <alignment vertical="center"/>
    </xf>
    <xf numFmtId="0" fontId="4" fillId="0" borderId="0" xfId="0" applyFont="1"/>
    <xf numFmtId="0" fontId="5" fillId="4" borderId="0" xfId="0" applyFont="1" applyFill="1"/>
    <xf numFmtId="0" fontId="6" fillId="0" borderId="0" xfId="0" applyFont="1"/>
    <xf numFmtId="0" fontId="7" fillId="0" borderId="0" xfId="0" applyFont="1"/>
    <xf numFmtId="0" fontId="8" fillId="5" borderId="0" xfId="0" applyFont="1" applyFill="1"/>
    <xf numFmtId="0" fontId="9" fillId="0" borderId="0" xfId="0" applyFont="1" applyAlignment="1">
      <alignment vertical="center"/>
    </xf>
    <xf numFmtId="0" fontId="10" fillId="0" borderId="0" xfId="0" applyFont="1" applyAlignment="1">
      <alignment vertical="top" wrapText="true"/>
    </xf>
    <xf numFmtId="0" fontId="11" fillId="0" borderId="0" xfId="0" applyFont="1" applyAlignment="1">
      <alignment vertical="center"/>
    </xf>
    <xf numFmtId="0" fontId="12" fillId="6" borderId="0" xfId="0" applyFont="1" applyFill="1" applyAlignment="1">
      <alignment vertical="center"/>
    </xf>
    <xf numFmtId="0" fontId="13" fillId="7" borderId="0" xfId="0" applyFont="1" applyFill="1" applyAlignment="1">
      <alignment vertical="center" wrapText="true"/>
    </xf>
    <xf numFmtId="0" fontId="14" fillId="0" borderId="0" xfId="0" applyFont="1" applyAlignment="1">
      <alignment horizontal="center" vertical="top"/>
    </xf>
    <xf numFmtId="0" fontId="15" fillId="8" borderId="0" xfId="0" applyFont="1" applyFill="1" applyAlignment="1">
      <alignment horizontal="center" vertical="top"/>
    </xf>
    <xf numFmtId="0" fontId="16" fillId="9" borderId="0" xfId="0" applyFont="1" applyFill="1" applyAlignment="1">
      <alignment vertical="top" wrapText="true"/>
    </xf>
    <xf numFmtId="0" fontId="17" fillId="0" borderId="0" xfId="0" applyFont="1"/>
    <xf numFmtId="0" fontId="18" fillId="0" borderId="0" xfId="0" applyFont="1" applyAlignment="1">
      <alignment horizontal="center" vertical="center"/>
    </xf>
    <xf numFmtId="0" fontId="19" fillId="0" borderId="0" xfId="0" applyFont="1" applyAlignment="1">
      <alignment horizontal="center" vertical="center" wrapText="true"/>
    </xf>
    <xf numFmtId="0" fontId="20" fillId="0" borderId="0" xfId="0" applyFont="1" applyAlignment="1">
      <alignment horizontal="center" vertical="center"/>
    </xf>
    <xf numFmtId="0" fontId="21" fillId="0" borderId="0" xfId="0" applyFont="1" applyAlignment="1">
      <alignment horizontal="center"/>
    </xf>
    <xf numFmtId="0" fontId="22" fillId="10" borderId="0" xfId="0" applyFont="1" applyFill="1" applyAlignment="1">
      <alignment horizontal="center" vertical="center"/>
    </xf>
    <xf numFmtId="0" fontId="23" fillId="11" borderId="0" xfId="0" applyFont="1" applyFill="1" applyAlignment="1">
      <alignment horizontal="center" vertical="center" wrapText="true"/>
    </xf>
    <xf numFmtId="0" fontId="24" fillId="12" borderId="0" xfId="0" applyFont="1" applyFill="1" applyAlignment="1">
      <alignment horizontal="center" vertical="center"/>
    </xf>
    <xf numFmtId="0" fontId="25" fillId="13" borderId="0" xfId="0" applyFont="1" applyFill="1" applyAlignment="1">
      <alignment horizontal="center"/>
    </xf>
    <xf numFmtId="0" fontId="26" fillId="0" borderId="0" xfId="0" applyFont="1"/>
    <xf numFmtId="0" fontId="27" fillId="0" borderId="0" xfId="0" applyFont="1" applyAlignment="1">
      <alignment vertical="center" wrapText="true"/>
    </xf>
    <xf numFmtId="0" fontId="28" fillId="14" borderId="0" xfId="0" applyFont="1" applyFill="1"/>
    <xf numFmtId="0" fontId="29" fillId="15" borderId="0" xfId="0" applyFont="1" applyFill="1" applyAlignment="1">
      <alignment horizontal="center" vertical="center" wrapText="true"/>
    </xf>
    <xf numFmtId="0" fontId="30" fillId="16" borderId="0" xfId="0" applyFont="1" applyFill="1" applyAlignment="1">
      <alignment horizontal="center" vertical="center"/>
    </xf>
    <xf numFmtId="0" fontId="31" fillId="0" borderId="0" xfId="0" applyFont="1" applyAlignment="1">
      <alignment vertical="top" wrapText="true"/>
    </xf>
    <xf numFmtId="0" fontId="32" fillId="17" borderId="0" xfId="0" applyFont="1" applyFill="1" applyAlignment="1">
      <alignment vertical="center"/>
    </xf>
    <xf numFmtId="0" fontId="33" fillId="18" borderId="0" xfId="0" applyFont="1" applyFill="1" applyAlignment="1">
      <alignment vertical="center"/>
    </xf>
    <xf numFmtId="0" fontId="34" fillId="0" borderId="0" xfId="0" applyFont="1" applyAlignment="1">
      <alignment horizontal="center" vertical="center"/>
    </xf>
    <xf numFmtId="0" fontId="35" fillId="19" borderId="0" xfId="0" applyFont="1" applyFill="1" applyAlignment="1">
      <alignment horizontal="center" vertical="center"/>
    </xf>
    <xf numFmtId="0" fontId="36" fillId="20" borderId="0" xfId="0" applyFont="1" applyFill="1" applyAlignment="1">
      <alignment horizontal="center" vertical="center"/>
    </xf>
    <xf numFmtId="0" fontId="37" fillId="21" borderId="2" xfId="0" applyFont="1" applyFill="1" applyBorder="1" applyAlignment="1">
      <alignment horizontal="center" vertical="center"/>
    </xf>
    <xf numFmtId="0" fontId="38" fillId="22" borderId="0" xfId="0" applyFont="1" applyFill="1" applyAlignment="1">
      <alignment horizontal="center" vertical="center"/>
    </xf>
    <xf numFmtId="0" fontId="39" fillId="23" borderId="0" xfId="0" applyFont="1" applyFill="1" applyAlignment="1">
      <alignment horizontal="center" vertical="center"/>
    </xf>
    <xf numFmtId="0" fontId="40" fillId="24" borderId="0" xfId="0" applyFont="1" applyFill="1" applyAlignment="1">
      <alignment horizontal="center" vertical="center"/>
    </xf>
    <xf numFmtId="0" fontId="41" fillId="25" borderId="3" xfId="0" applyFont="1" applyFill="1" applyBorder="1" applyAlignment="1">
      <alignment horizontal="center" vertical="center"/>
    </xf>
    <xf numFmtId="0" fontId="42" fillId="26" borderId="0" xfId="0" applyFont="1" applyFill="1" applyAlignment="1">
      <alignment horizontal="center" vertical="center"/>
    </xf>
    <xf numFmtId="0" fontId="43" fillId="27" borderId="0" xfId="0" applyFont="1" applyFill="1" applyAlignment="1">
      <alignment horizontal="center" vertical="center"/>
    </xf>
    <xf numFmtId="0" fontId="44" fillId="28" borderId="0" xfId="0" applyFont="1" applyFill="1" applyAlignment="1">
      <alignment horizontal="center" vertical="center"/>
    </xf>
    <xf numFmtId="0" fontId="45" fillId="0" borderId="0" xfId="0" applyFont="1" applyAlignment="1">
      <alignment horizontal="center" vertical="center"/>
    </xf>
    <xf numFmtId="0" fontId="46" fillId="29" borderId="4" xfId="0" applyFont="1" applyFill="1" applyBorder="1" applyAlignment="1">
      <alignment horizontal="center" vertical="center"/>
    </xf>
    <xf numFmtId="0" fontId="47" fillId="0" borderId="0" xfId="0" applyFont="1"/>
    <xf numFmtId="0" fontId="48" fillId="0" borderId="0" xfId="0" applyFont="1"/>
    <xf numFmtId="0" fontId="49" fillId="0" borderId="0" xfId="0" applyFont="1"/>
    <xf numFmtId="0" fontId="50" fillId="30" borderId="0" xfId="0" applyFont="1" applyFill="1"/>
    <xf numFmtId="0" fontId="51" fillId="31" borderId="0" xfId="0" applyFont="1" applyFill="1"/>
    <xf numFmtId="0" fontId="52" fillId="32" borderId="0" xfId="0" applyFont="1" applyFill="1"/>
    <xf numFmtId="0" fontId="53" fillId="33" borderId="0" xfId="0" applyFont="1" applyFill="1"/>
    <xf numFmtId="0" fontId="54" fillId="34" borderId="0" xfId="0" applyFont="1" applyFill="1" applyAlignment="1">
      <alignment horizontal="center" vertical="center"/>
    </xf>
    <xf numFmtId="0" fontId="55" fillId="35" borderId="0" xfId="0" applyFont="1" applyFill="1" applyAlignment="1">
      <alignment horizontal="center" vertical="center"/>
    </xf>
    <xf numFmtId="0" fontId="56" fillId="36" borderId="0" xfId="0" applyFont="1" applyFill="1"/>
    <xf numFmtId="0" fontId="57" fillId="37" borderId="0" xfId="0" applyFont="1" applyFill="1"/>
    <xf numFmtId="0" fontId="58" fillId="38" borderId="0" xfId="0" applyFont="1" applyFill="1" applyAlignment="1">
      <alignment horizontal="center" vertical="center"/>
    </xf>
    <xf numFmtId="0" fontId="0" fillId="39" borderId="0" xfId="0" applyFill="1"/>
    <xf numFmtId="0" fontId="59" fillId="0" borderId="0" xfId="0" applyFont="1" applyAlignment="1">
      <alignment vertical="center" wrapText="true"/>
    </xf>
    <xf numFmtId="0" fontId="60" fillId="40" borderId="0" xfId="0" applyFont="1" applyFill="1" applyAlignment="1">
      <alignment horizontal="left" vertical="center" wrapText="true"/>
    </xf>
    <xf numFmtId="0" fontId="61" fillId="41" borderId="0" xfId="0" applyFont="1" applyFill="1" applyAlignment="1">
      <alignment horizontal="left" vertical="center" wrapText="true"/>
    </xf>
    <xf numFmtId="0" fontId="62" fillId="42" borderId="0" xfId="0" applyFont="1" applyFill="1" applyAlignment="1">
      <alignment horizontal="left" vertical="center" wrapText="true"/>
    </xf>
    <xf numFmtId="0" fontId="63" fillId="43" borderId="0" xfId="0" applyFont="1" applyFill="1" applyAlignment="1">
      <alignment horizontal="left" vertical="center" wrapText="true"/>
    </xf>
    <xf numFmtId="0" fontId="64" fillId="44" borderId="0" xfId="0" applyFont="1" applyFill="1" applyAlignment="1">
      <alignment horizontal="left" vertical="center" wrapText="true"/>
    </xf>
    <xf numFmtId="0" fontId="65" fillId="45" borderId="0" xfId="0" applyFont="1" applyFill="1" applyAlignment="1">
      <alignment horizontal="left" vertical="center" wrapText="true"/>
    </xf>
    <xf numFmtId="0" fontId="66" fillId="46" borderId="0" xfId="0" applyFont="1" applyFill="1" applyAlignment="1">
      <alignment horizontal="center" vertical="center"/>
    </xf>
    <xf numFmtId="0" fontId="67" fillId="0" borderId="0" xfId="0" applyFont="1" applyAlignment="1">
      <alignment vertical="top" wrapText="true"/>
    </xf>
    <xf numFmtId="0" fontId="68" fillId="0" borderId="0" xfId="0" applyFont="1" applyAlignment="1">
      <alignment vertical="top" wrapText="true"/>
    </xf>
    <xf numFmtId="0" fontId="69" fillId="0" borderId="0" xfId="0" applyFont="1" applyAlignment="1">
      <alignment vertical="top" wrapText="true"/>
    </xf>
    <xf numFmtId="0" fontId="70" fillId="0" borderId="0" xfId="0" applyFont="1" applyAlignment="1">
      <alignment vertical="top" wrapText="true"/>
    </xf>
    <xf numFmtId="0" fontId="71" fillId="0" borderId="0" xfId="0" applyFont="1" applyAlignment="1">
      <alignment vertical="top" wrapText="true"/>
    </xf>
    <xf numFmtId="0" fontId="72" fillId="0" borderId="0" xfId="0" applyFont="1" applyAlignment="1">
      <alignment vertical="top" wrapText="true"/>
    </xf>
    <xf numFmtId="0" fontId="73" fillId="47" borderId="0" xfId="0" applyFont="1" applyFill="1" applyAlignment="1">
      <alignment vertical="top" wrapText="true"/>
    </xf>
    <xf numFmtId="0" fontId="74" fillId="48" borderId="0" xfId="0" applyFont="1" applyFill="1" applyAlignment="1">
      <alignment vertical="top" wrapText="true"/>
    </xf>
    <xf numFmtId="0" fontId="75" fillId="49" borderId="0" xfId="0" applyFont="1" applyFill="1" applyAlignment="1">
      <alignment vertical="top" wrapText="true"/>
    </xf>
    <xf numFmtId="0" fontId="76" fillId="50" borderId="0" xfId="0" applyFont="1" applyFill="1" applyAlignment="1">
      <alignment vertical="top" wrapText="true"/>
    </xf>
    <xf numFmtId="0" fontId="77" fillId="51" borderId="0" xfId="0" applyFont="1" applyFill="1" applyAlignment="1">
      <alignment vertical="top" wrapText="true"/>
    </xf>
    <xf numFmtId="0" fontId="78" fillId="52" borderId="0" xfId="0" applyFont="1" applyFill="1" applyAlignment="1">
      <alignment vertical="top" wrapText="true"/>
    </xf>
    <xf numFmtId="0" fontId="79" fillId="53" borderId="0" xfId="0" applyFont="1" applyFill="1" applyAlignment="1">
      <alignment horizontal="center" vertical="center"/>
    </xf>
    <xf numFmtId="0" fontId="80" fillId="54" borderId="0" xfId="0" applyFont="1" applyFill="1" applyAlignment="1">
      <alignment vertical="top" wrapText="true"/>
    </xf>
    <xf numFmtId="0" fontId="81" fillId="55" borderId="0" xfId="0" applyFont="1" applyFill="1" applyAlignment="1">
      <alignment vertical="top" wrapText="true"/>
    </xf>
    <xf numFmtId="0" fontId="82" fillId="56" borderId="0" xfId="0" applyFont="1" applyFill="1" applyAlignment="1">
      <alignment vertical="top" wrapText="true"/>
    </xf>
    <xf numFmtId="0" fontId="83" fillId="57" borderId="0" xfId="0" applyFont="1" applyFill="1" applyAlignment="1">
      <alignment vertical="top" wrapText="true"/>
    </xf>
    <xf numFmtId="0" fontId="84" fillId="58" borderId="0" xfId="0" applyFont="1" applyFill="1" applyAlignment="1">
      <alignment vertical="top" wrapText="true"/>
    </xf>
    <xf numFmtId="0" fontId="85" fillId="59" borderId="0" xfId="0" applyFont="1" applyFill="1" applyAlignment="1">
      <alignment vertical="top" wrapText="true"/>
    </xf>
    <xf numFmtId="0" fontId="86" fillId="60" borderId="0" xfId="0" applyFont="1" applyFill="1" applyAlignment="1">
      <alignment vertical="center"/>
    </xf>
    <xf numFmtId="0" fontId="0" fillId="61" borderId="0" xfId="0" applyFill="1"/>
    <xf numFmtId="0" fontId="87" fillId="62" borderId="0" xfId="0" applyFont="1" applyFill="1" applyAlignment="1">
      <alignment horizontal="center" vertical="center"/>
    </xf>
    <xf numFmtId="0" fontId="88" fillId="63" borderId="0" xfId="0" applyFont="1" applyFill="1" applyAlignment="1">
      <alignment horizontal="center" vertical="center"/>
    </xf>
    <xf numFmtId="0" fontId="89" fillId="64" borderId="0" xfId="0" applyFont="1" applyFill="1" applyAlignment="1">
      <alignment vertical="center"/>
    </xf>
    <xf numFmtId="0" fontId="90" fillId="0" borderId="0" xfId="0" applyFont="1" applyAlignment="1">
      <alignment vertical="top" wrapText="true"/>
    </xf>
    <xf numFmtId="0" fontId="91" fillId="0" borderId="0" xfId="0" applyFont="1" applyAlignment="1">
      <alignment vertical="top" wrapText="true"/>
    </xf>
    <xf numFmtId="0" fontId="92" fillId="65" borderId="0" xfId="0" applyFont="1" applyFill="1" applyAlignment="1">
      <alignment vertical="top" wrapText="true"/>
    </xf>
    <xf numFmtId="0" fontId="93" fillId="66" borderId="0" xfId="0" applyFont="1" applyFill="1" applyAlignment="1">
      <alignment vertical="top" wrapText="true"/>
    </xf>
    <xf numFmtId="0" fontId="94" fillId="67" borderId="0" xfId="0" applyFont="1" applyFill="1" applyAlignment="1">
      <alignment vertical="top" wrapText="true"/>
    </xf>
    <xf numFmtId="0" fontId="95" fillId="68" borderId="0" xfId="0" applyFont="1" applyFill="1" applyAlignment="1">
      <alignment vertical="top" wrapText="true"/>
    </xf>
    <xf numFmtId="0" fontId="96" fillId="69" borderId="0" xfId="0" applyFont="1" applyFill="1" applyAlignment="1">
      <alignment horizontal="center" vertical="center"/>
    </xf>
    <xf numFmtId="0" fontId="97" fillId="70" borderId="0" xfId="0" applyFont="1" applyFill="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8"/>
  <sheetViews>
    <sheetView workbookViewId="0"/>
  </sheetViews>
  <cols>
    <col min="1" max="1" width="30.83203125" customWidth="1"/>
    <col min="2" max="2" width="38.83203125" customWidth="1"/>
  </cols>
  <sheetData>
    <row r="1" ht="18" customHeight="1">
      <c r="A1" s="3" t="str">
        <v>EDD · ESPMO — Licenses for GitHub Copilot Pilot — PROFILE</v>
      </c>
      <c r="B1" s="3" t="str">
        <v/>
      </c>
    </row>
    <row r="2" ht="26" customHeight="1">
      <c r="A2" s="4" t="str">
        <v>Licenses for GitHub Copilot Pilot</v>
      </c>
      <c r="B2" s="4" t="str">
        <v/>
      </c>
    </row>
    <row r="3">
      <c r="A3" s="5" t="str">
        <v/>
      </c>
      <c r="B3" s="5" t="str">
        <v/>
      </c>
    </row>
    <row r="4">
      <c r="A4" s="6" t="str">
        <v>Value-to-Complexity (V–C)</v>
      </c>
      <c r="B4" s="7">
        <v>18</v>
      </c>
    </row>
    <row r="5">
      <c r="A5" s="6" t="str">
        <v>V–C Read</v>
      </c>
      <c r="B5" s="8" t="str">
        <v>Mini</v>
      </c>
    </row>
    <row r="6">
      <c r="A6" s="5" t="str">
        <v/>
      </c>
      <c r="B6" s="5" t="str">
        <v/>
      </c>
    </row>
    <row r="7">
      <c r="A7" s="9" t="str">
        <v>Result Summary</v>
      </c>
      <c r="B7" s="9" t="str">
        <v/>
      </c>
    </row>
    <row r="8">
      <c r="A8" s="6" t="str">
        <v>Value Score (of 100)</v>
      </c>
      <c r="B8" s="8">
        <v>24</v>
      </c>
    </row>
    <row r="9">
      <c r="A9" s="6" t="str">
        <v>Business Complexity (of 4)</v>
      </c>
      <c r="B9" s="5">
        <v>1.89</v>
      </c>
    </row>
    <row r="10">
      <c r="A10" s="6" t="str">
        <v>Technical Complexity (of 4)</v>
      </c>
      <c r="B10" s="5">
        <v>2.88</v>
      </c>
    </row>
    <row r="11">
      <c r="A11" s="6" t="str">
        <v>Average Complexity (of 4)</v>
      </c>
      <c r="B11" s="5">
        <v>2.38</v>
      </c>
    </row>
    <row r="12">
      <c r="A12" s="6" t="str">
        <v>Criticality</v>
      </c>
      <c r="B12" s="5" t="str">
        <v>Zone II · Medium</v>
      </c>
    </row>
    <row r="13">
      <c r="A13" s="6" t="str">
        <v>Project Level</v>
      </c>
      <c r="B13" s="8" t="str">
        <v>Extended</v>
      </c>
    </row>
    <row r="14">
      <c r="A14" s="6" t="str">
        <v>Governance Tier</v>
      </c>
      <c r="B14" s="8" t="str">
        <v>Tier 1</v>
      </c>
    </row>
    <row r="15">
      <c r="A15" s="6" t="str">
        <v>PAL Determination</v>
      </c>
      <c r="B15" s="8" t="str">
        <v>INDETERMINATE — likely Regular; confirm cost against EDD delegation tier</v>
      </c>
    </row>
    <row r="16">
      <c r="A16" s="6" t="str">
        <v>Recommended Approach</v>
      </c>
      <c r="B16" s="8" t="str">
        <v>Hybrid — slight Waterfall lean</v>
      </c>
    </row>
    <row r="17">
      <c r="A17" s="5" t="str">
        <v/>
      </c>
      <c r="B17" s="5" t="str">
        <v/>
      </c>
    </row>
    <row r="18">
      <c r="A18" s="9" t="str">
        <v>Triggered Drivers</v>
      </c>
      <c r="B18" s="9" t="str">
        <v/>
      </c>
    </row>
    <row r="19">
      <c r="A19" s="10" t="str">
        <v>• new/changed service</v>
      </c>
      <c r="B19" s="5" t="str">
        <v/>
      </c>
    </row>
    <row r="20">
      <c r="A20" s="10" t="str">
        <v>• undefined</v>
      </c>
      <c r="B20" s="5" t="str">
        <v/>
      </c>
    </row>
    <row r="21">
      <c r="A21" s="10" t="str">
        <v>• security review</v>
      </c>
      <c r="B21" s="5" t="str">
        <v/>
      </c>
    </row>
    <row r="22">
      <c r="A22" s="10" t="str">
        <v>• cloud / infra</v>
      </c>
      <c r="B22" s="5" t="str">
        <v/>
      </c>
    </row>
    <row r="23">
      <c r="A23" s="5" t="str">
        <v/>
      </c>
      <c r="B23" s="5" t="str">
        <v/>
      </c>
    </row>
    <row r="24">
      <c r="A24" s="9" t="str">
        <v>Assessment Feedback</v>
      </c>
      <c r="B24" s="9" t="str">
        <v/>
      </c>
    </row>
    <row r="25">
      <c r="A25" s="6" t="str">
        <v>Rating</v>
      </c>
      <c r="B25" s="8" t="str">
        <v>(not rated)</v>
      </c>
    </row>
    <row r="26">
      <c r="A26" s="6" t="str">
        <v>Comments</v>
      </c>
      <c r="B26" s="11" t="str">
        <v>(none)</v>
      </c>
    </row>
    <row r="27">
      <c r="A27" s="5" t="str">
        <v/>
      </c>
      <c r="B27" s="5" t="str">
        <v/>
      </c>
    </row>
    <row r="28">
      <c r="A28" s="12" t="str">
        <v>EDD · ESPMO Project Profiler   ·   Licenses for GitHub Copilot Pilot   ·   Sheet 1 of 8   ·   Generated Jul 6, 2026</v>
      </c>
      <c r="B28" s="12" t="str">
        <v/>
      </c>
    </row>
  </sheetData>
  <mergeCells count="6">
    <mergeCell ref="A1:B1"/>
    <mergeCell ref="A2:B2"/>
    <mergeCell ref="A7:B7"/>
    <mergeCell ref="A18:B18"/>
    <mergeCell ref="A24:B24"/>
    <mergeCell ref="A28:B28"/>
  </mergeCells>
  <pageMargins left="0.3" right="0.3" top="0.4" bottom="0.4" header="0.2" footer="0.2"/>
  <ignoredErrors>
    <ignoredError numberStoredAsText="1" sqref="A1:B28"/>
  </ignoredErrors>
</worksheet>
</file>

<file path=xl/worksheets/sheet2.xml><?xml version="1.0" encoding="utf-8"?>
<worksheet xmlns="http://schemas.openxmlformats.org/spreadsheetml/2006/main" xmlns:r="http://schemas.openxmlformats.org/officeDocument/2006/relationships">
  <dimension ref="A1:D35"/>
  <sheetViews>
    <sheetView workbookViewId="0"/>
  </sheetViews>
  <cols>
    <col min="1" max="1" width="6.83203125" customWidth="1"/>
    <col min="2" max="2" width="44.83203125" customWidth="1"/>
    <col min="3" max="3" width="18.83203125" customWidth="1"/>
    <col min="4" max="4" width="38.83203125" customWidth="1"/>
  </cols>
  <sheetData>
    <row r="1" ht="16" customHeight="1">
      <c r="A1" s="13" t="str">
        <v>EDD · ESPMO — Licenses for GitHub Copilot Pilot — INTAKE ANSWERS</v>
      </c>
      <c r="B1" s="13" t="str">
        <v/>
      </c>
      <c r="C1" s="13" t="str">
        <v/>
      </c>
      <c r="D1" s="13" t="str">
        <v/>
      </c>
    </row>
    <row r="2">
      <c r="A2" s="14" t="str">
        <v>ID</v>
      </c>
      <c r="B2" s="14" t="str">
        <v>Question</v>
      </c>
      <c r="C2" s="14" t="str">
        <v>Answer</v>
      </c>
      <c r="D2" s="14" t="str">
        <v>Additional Context</v>
      </c>
    </row>
    <row r="3">
      <c r="A3" s="15" t="str">
        <v>Q01</v>
      </c>
      <c r="B3" s="11" t="str">
        <v>What is the project delivery approach?</v>
      </c>
      <c r="C3" s="11" t="str">
        <v>Not yet determined</v>
      </c>
      <c r="D3" s="11" t="str">
        <v/>
      </c>
    </row>
    <row r="4">
      <c r="A4" s="16" t="str">
        <v>Q02</v>
      </c>
      <c r="B4" s="17" t="str">
        <v>Once defined, how stable is the scope / set of requirements expected to be during delivery?</v>
      </c>
      <c r="C4" s="17" t="str">
        <v>(not answered)</v>
      </c>
      <c r="D4" s="17" t="str">
        <v/>
      </c>
    </row>
    <row r="5">
      <c r="A5" s="15" t="str">
        <v>Q03</v>
      </c>
      <c r="B5" s="11" t="str">
        <v>How does the business want the solution delivered?</v>
      </c>
      <c r="C5" s="11" t="str">
        <v>(not answered)</v>
      </c>
      <c r="D5" s="11" t="str">
        <v/>
      </c>
    </row>
    <row r="6">
      <c r="A6" s="16" t="str">
        <v>Q04</v>
      </c>
      <c r="B6" s="17" t="str">
        <v>How available is the business partner / product owner during delivery?</v>
      </c>
      <c r="C6" s="17" t="str">
        <v>(not answered)</v>
      </c>
      <c r="D6" s="17" t="str">
        <v/>
      </c>
    </row>
    <row r="7">
      <c r="A7" s="15" t="str">
        <v>Q05</v>
      </c>
      <c r="B7" s="11" t="str">
        <v>Is the delivery team dedicated and available to this project?</v>
      </c>
      <c r="C7" s="11" t="str">
        <v>(not answered)</v>
      </c>
      <c r="D7" s="11" t="str">
        <v/>
      </c>
    </row>
    <row r="8">
      <c r="A8" s="16" t="str">
        <v>Q06</v>
      </c>
      <c r="B8" s="17" t="str">
        <v>What is the current project phase?</v>
      </c>
      <c r="C8" s="17" t="str">
        <v>Concept</v>
      </c>
      <c r="D8" s="17" t="str">
        <v/>
      </c>
    </row>
    <row r="9">
      <c r="A9" s="15" t="str">
        <v>Q07</v>
      </c>
      <c r="B9" s="11" t="str">
        <v>What is the expected strategic or operational value if this project succeeds?</v>
      </c>
      <c r="C9" s="11" t="str">
        <v>Moderate</v>
      </c>
      <c r="D9" s="11" t="str">
        <v/>
      </c>
    </row>
    <row r="10">
      <c r="A10" s="16" t="str">
        <v>Q08</v>
      </c>
      <c r="B10" s="17" t="str">
        <v>Is there a hard external driver — required deadline, statutory/regulatory requirement, policy/compliance requirement, audit finding, funding deadline, executive mandate, time-related contract restriction or expiration, end-of-life / unsupported system deadline, or other non-discretionary driver?</v>
      </c>
      <c r="C10" s="17" t="str">
        <v>No</v>
      </c>
      <c r="D10" s="17" t="str">
        <v/>
      </c>
    </row>
    <row r="11">
      <c r="A11" s="15" t="str">
        <v>Q09</v>
      </c>
      <c r="B11" s="11" t="str">
        <v>Are the project's risks identified and under control?</v>
      </c>
      <c r="C11" s="11" t="str">
        <v>Mostly — key risks managed, some gaps remain</v>
      </c>
      <c r="D11" s="11" t="str">
        <v/>
      </c>
    </row>
    <row r="12">
      <c r="A12" s="16" t="str">
        <v>Q10</v>
      </c>
      <c r="B12" s="17" t="str">
        <v>Who is expected to be impacted by the project outcome?</v>
      </c>
      <c r="C12" s="17" t="str">
        <v>One unit or program area</v>
      </c>
      <c r="D12" s="17" t="str">
        <v/>
      </c>
    </row>
    <row r="13">
      <c r="A13" s="15" t="str">
        <v>Q11</v>
      </c>
      <c r="B13" s="11" t="str">
        <v>How experienced is the delivery team with this type of work?</v>
      </c>
      <c r="C13" s="11" t="str">
        <v>Somewhat experienced — adjacent or partial experience; some key roles experienced, some new</v>
      </c>
      <c r="D13" s="11" t="str">
        <v/>
      </c>
    </row>
    <row r="14">
      <c r="A14" s="16" t="str">
        <v>Q12</v>
      </c>
      <c r="B14" s="17" t="str">
        <v>Is funding secured for this work?</v>
      </c>
      <c r="C14" s="17" t="str">
        <v>Identified but not yet secured</v>
      </c>
      <c r="D14" s="17" t="str">
        <v/>
      </c>
    </row>
    <row r="15">
      <c r="A15" s="15" t="str">
        <v>Q13</v>
      </c>
      <c r="B15" s="11" t="str">
        <v>Will this project deliver a new or changed service, system, process, or capability?</v>
      </c>
      <c r="C15" s="11" t="str">
        <v>Yes</v>
      </c>
      <c r="D15" s="11" t="str">
        <v/>
      </c>
    </row>
    <row r="16">
      <c r="A16" s="16" t="str">
        <v>Q14</v>
      </c>
      <c r="B16" s="17" t="str">
        <v>What is the estimated project cost or funding range?</v>
      </c>
      <c r="C16" s="17" t="str">
        <v>Under $250K</v>
      </c>
      <c r="D16" s="17" t="str">
        <v/>
      </c>
    </row>
    <row r="17">
      <c r="A17" s="15" t="str">
        <v>Q15</v>
      </c>
      <c r="B17" s="11" t="str">
        <v>What is the estimated level of effort (T-shirt size)?</v>
      </c>
      <c r="C17" s="11" t="str">
        <v>(not answered)</v>
      </c>
      <c r="D17" s="11" t="str">
        <v/>
      </c>
    </row>
    <row r="18">
      <c r="A18" s="16" t="str">
        <v>Q16</v>
      </c>
      <c r="B18" s="17" t="str">
        <v>Is this an EDD Next project?</v>
      </c>
      <c r="C18" s="17" t="str">
        <v>(not answered)</v>
      </c>
      <c r="D18" s="17" t="str">
        <v/>
      </c>
    </row>
    <row r="19">
      <c r="A19" s="15" t="str">
        <v>Q17</v>
      </c>
      <c r="B19" s="11" t="str">
        <v>How many teams, units, or divisions need to coordinate for delivery?</v>
      </c>
      <c r="C19" s="11" t="str">
        <v>Several teams or divisions (5–9)</v>
      </c>
      <c r="D19" s="11" t="str">
        <v/>
      </c>
    </row>
    <row r="20">
      <c r="A20" s="16" t="str">
        <v>Q18</v>
      </c>
      <c r="B20" s="17" t="str">
        <v>Are vendors or contractors responsible for delivering part or all of the project?</v>
      </c>
      <c r="C20" s="17" t="str">
        <v>No, internal delivery only</v>
      </c>
      <c r="D20" s="17" t="str">
        <v/>
      </c>
    </row>
    <row r="21">
      <c r="A21" s="15" t="str">
        <v>Q19</v>
      </c>
      <c r="B21" s="11" t="str">
        <v>Does the project require a budget action — a BCP (Budget Change Proposal) or Budget Revision?</v>
      </c>
      <c r="C21" s="11" t="str">
        <v>(not answered)</v>
      </c>
      <c r="D21" s="11" t="str">
        <v/>
      </c>
    </row>
    <row r="22">
      <c r="A22" s="16" t="str">
        <v>Q20</v>
      </c>
      <c r="B22" s="17" t="str">
        <v>Is the project required by a legislative mandate, or subject to special legislative review?</v>
      </c>
      <c r="C22" s="17" t="str">
        <v>(not answered)</v>
      </c>
      <c r="D22" s="17" t="str">
        <v/>
      </c>
    </row>
    <row r="23">
      <c r="A23" s="15" t="str">
        <v>Q21</v>
      </c>
      <c r="B23" s="11" t="str">
        <v>Does project initiation depend on Governor’s Budget decisions?</v>
      </c>
      <c r="C23" s="11" t="str">
        <v>(not answered)</v>
      </c>
      <c r="D23" s="11" t="str">
        <v/>
      </c>
    </row>
    <row r="24">
      <c r="A24" s="16" t="str">
        <v>Q22</v>
      </c>
      <c r="B24" s="17" t="str">
        <v>Has CDT/AIO determined the project’s criticality or risk warrants CDT oversight?</v>
      </c>
      <c r="C24" s="17" t="str">
        <v>(not answered)</v>
      </c>
      <c r="D24" s="17" t="str">
        <v/>
      </c>
    </row>
    <row r="25">
      <c r="A25" s="15" t="str">
        <v>Q23</v>
      </c>
      <c r="B25" s="11" t="str">
        <v>Does the project involve sensitive, personal, confidential, regulated data, FTI, or other protected data?</v>
      </c>
      <c r="C25" s="11" t="str">
        <v>Not sure</v>
      </c>
      <c r="D25" s="11" t="str">
        <v/>
      </c>
    </row>
    <row r="26">
      <c r="A26" s="16" t="str">
        <v>Q24</v>
      </c>
      <c r="B26" s="17" t="str">
        <v>Does the project depend on other systems, integrations, interfaces, or shared data?</v>
      </c>
      <c r="C26" s="17" t="str">
        <v>A few dependencies (2–4)</v>
      </c>
      <c r="D26" s="17" t="str">
        <v/>
      </c>
    </row>
    <row r="27">
      <c r="A27" s="15" t="str">
        <v>Q25</v>
      </c>
      <c r="B27" s="11" t="str">
        <v>Will existing data be migrated, converted, cleansed, or loaded at scale?</v>
      </c>
      <c r="C27" s="11" t="str">
        <v>No</v>
      </c>
      <c r="D27" s="11" t="str">
        <v/>
      </c>
    </row>
    <row r="28">
      <c r="A28" s="16" t="str">
        <v>Q26</v>
      </c>
      <c r="B28" s="17" t="str">
        <v>How familiar is the technology to IT?</v>
      </c>
      <c r="C28" s="17" t="str">
        <v>Largely new or unproven</v>
      </c>
      <c r="D28" s="17" t="str">
        <v/>
      </c>
    </row>
    <row r="29">
      <c r="A29" s="15" t="str">
        <v>Q27</v>
      </c>
      <c r="B29" s="11" t="str">
        <v>How familiar is the business process or operational model to the business area?</v>
      </c>
      <c r="C29" s="11" t="str">
        <v>Some new components</v>
      </c>
      <c r="D29" s="11" t="str">
        <v/>
      </c>
    </row>
    <row r="30">
      <c r="A30" s="16" t="str">
        <v>Q28</v>
      </c>
      <c r="B30" s="17" t="str">
        <v>Will the project require new access controls, authentication changes, or a formal security review?</v>
      </c>
      <c r="C30" s="17" t="str">
        <v>Yes</v>
      </c>
      <c r="D30" s="17" t="str">
        <v/>
      </c>
    </row>
    <row r="31">
      <c r="A31" s="15" t="str">
        <v>Q29</v>
      </c>
      <c r="B31" s="11" t="str">
        <v>Does the project involve cloud, hosting, infrastructure, or environment changes?</v>
      </c>
      <c r="C31" s="11" t="str">
        <v>Yes</v>
      </c>
      <c r="D31" s="11" t="str">
        <v/>
      </c>
    </row>
    <row r="32">
      <c r="A32" s="16" t="str">
        <v>Q30</v>
      </c>
      <c r="B32" s="17" t="str">
        <v>How will testing be performed for this project?</v>
      </c>
      <c r="C32" s="17" t="str">
        <v>In-house QA / project team</v>
      </c>
      <c r="D32" s="17" t="str">
        <v/>
      </c>
    </row>
    <row r="33">
      <c r="A33" s="15" t="str">
        <v>Q31</v>
      </c>
      <c r="B33" s="11" t="str">
        <v>What is the planned post-deployment support and M&amp;O strategy?</v>
      </c>
      <c r="C33" s="11" t="str">
        <v>Not yet defined / not applicable</v>
      </c>
      <c r="D33" s="11" t="str">
        <v/>
      </c>
    </row>
    <row r="35">
      <c r="A35" s="12" t="str">
        <v>EDD · ESPMO Project Profiler   ·   Licenses for GitHub Copilot Pilot   ·   Sheet 2 of 8   ·   Generated Jul 6, 2026</v>
      </c>
      <c r="B35" s="12" t="str">
        <v/>
      </c>
      <c r="C35" s="12" t="str">
        <v/>
      </c>
      <c r="D35" s="12" t="str">
        <v/>
      </c>
    </row>
  </sheetData>
  <mergeCells count="2">
    <mergeCell ref="A1:D1"/>
    <mergeCell ref="A35:D35"/>
  </mergeCells>
  <pageMargins left="0.3" right="0.3" top="0.4" bottom="0.4" header="0.2" footer="0.2"/>
  <ignoredErrors>
    <ignoredError numberStoredAsText="1" sqref="A1:D35"/>
  </ignoredErrors>
</worksheet>
</file>

<file path=xl/worksheets/sheet3.xml><?xml version="1.0" encoding="utf-8"?>
<worksheet xmlns="http://schemas.openxmlformats.org/spreadsheetml/2006/main" xmlns:r="http://schemas.openxmlformats.org/officeDocument/2006/relationships">
  <dimension ref="A1:K23"/>
  <sheetViews>
    <sheetView workbookViewId="0"/>
  </sheetViews>
  <cols>
    <col min="1" max="1" width="3.83203125" customWidth="1"/>
    <col min="2" max="2" width="14.83203125" customWidth="1"/>
    <col min="3" max="3" width="10.83203125" customWidth="1"/>
    <col min="4" max="4" width="4.83203125" customWidth="1"/>
    <col min="5" max="5" width="6.83203125" customWidth="1"/>
    <col min="6" max="6" width="2.83203125" customWidth="1"/>
    <col min="7" max="7" width="3.83203125" customWidth="1"/>
    <col min="8" max="8" width="14.83203125" customWidth="1"/>
    <col min="9" max="9" width="9.83203125" customWidth="1"/>
    <col min="10" max="10" width="4.83203125" customWidth="1"/>
    <col min="11" max="11" width="6.83203125" customWidth="1"/>
  </cols>
  <sheetData>
    <row r="1" ht="16" customHeight="1">
      <c r="A1" s="13" t="str">
        <v>EDD · ESPMO — Licenses for GitHub Copilot Pilot — SIMM COMPLEXITY</v>
      </c>
      <c r="B1" s="13" t="str">
        <v/>
      </c>
      <c r="C1" s="13" t="str">
        <v/>
      </c>
      <c r="D1" s="13" t="str">
        <v/>
      </c>
      <c r="E1" s="13" t="str">
        <v/>
      </c>
      <c r="F1" s="13" t="str">
        <v/>
      </c>
      <c r="G1" s="13" t="str">
        <v/>
      </c>
      <c r="H1" s="13" t="str">
        <v/>
      </c>
      <c r="I1" s="13" t="str">
        <v/>
      </c>
      <c r="J1" s="13" t="str">
        <v/>
      </c>
      <c r="K1" s="13" t="str">
        <v/>
      </c>
    </row>
    <row r="2">
      <c r="A2" s="14" t="str">
        <v>ID</v>
      </c>
      <c r="B2" s="14" t="str">
        <v>Business Attribute</v>
      </c>
      <c r="C2" s="14" t="str">
        <v>0 ◄──► 4</v>
      </c>
      <c r="D2" s="14" t="str">
        <v>Q#</v>
      </c>
      <c r="E2" s="14" t="str">
        <v>Rating</v>
      </c>
      <c r="F2" s="18" t="str">
        <v/>
      </c>
      <c r="G2" s="14" t="str">
        <v>ID</v>
      </c>
      <c r="H2" s="14" t="str">
        <v>Technical Attribute</v>
      </c>
      <c r="I2" s="14" t="str">
        <v>0 ◄──► 4</v>
      </c>
      <c r="J2" s="14" t="str">
        <v>Q#</v>
      </c>
      <c r="K2" s="14" t="str">
        <v>Rating</v>
      </c>
    </row>
    <row r="3">
      <c r="A3" s="19" t="str">
        <v>B01</v>
      </c>
      <c r="B3" s="11" t="str">
        <v>Business Rules</v>
      </c>
      <c r="C3" s="20" t="str">
        <v>Static ◄──► Changing</v>
      </c>
      <c r="D3" s="21" t="str">
        <v>Q27</v>
      </c>
      <c r="E3" s="22">
        <v>2.5</v>
      </c>
      <c r="F3" s="18" t="str">
        <v/>
      </c>
      <c r="G3" s="19" t="str">
        <v>T01</v>
      </c>
      <c r="H3" s="11" t="str">
        <v>Communications</v>
      </c>
      <c r="I3" s="20" t="str">
        <v>Local ◄──► State wide</v>
      </c>
      <c r="J3" s="21" t="str">
        <v>Q10</v>
      </c>
      <c r="K3" s="22">
        <v>1.5</v>
      </c>
    </row>
    <row r="4">
      <c r="A4" s="23" t="str">
        <v>B02</v>
      </c>
      <c r="B4" s="17" t="str">
        <v>Current Business Systems</v>
      </c>
      <c r="C4" s="24" t="str">
        <v>Static ◄──► Changing</v>
      </c>
      <c r="D4" s="25" t="str">
        <v>Q27</v>
      </c>
      <c r="E4" s="26">
        <v>2.5</v>
      </c>
      <c r="F4" s="18" t="str">
        <v/>
      </c>
      <c r="G4" s="23" t="str">
        <v>T02</v>
      </c>
      <c r="H4" s="17" t="str">
        <v>Delivery Mechanism</v>
      </c>
      <c r="I4" s="24" t="str">
        <v>Established ◄──► New</v>
      </c>
      <c r="J4" s="25" t="str">
        <v>Q26</v>
      </c>
      <c r="K4" s="26">
        <v>4</v>
      </c>
    </row>
    <row r="5">
      <c r="A5" s="19" t="str">
        <v>B03</v>
      </c>
      <c r="B5" s="11" t="str">
        <v>Decision-Making Process</v>
      </c>
      <c r="C5" s="20" t="str">
        <v>Known and Followed ◄──► Not Known</v>
      </c>
      <c r="D5" s="21" t="str">
        <v>Q17</v>
      </c>
      <c r="E5" s="22">
        <v>2.5</v>
      </c>
      <c r="F5" s="18" t="str">
        <v/>
      </c>
      <c r="G5" s="19" t="str">
        <v>T03</v>
      </c>
      <c r="H5" s="11" t="str">
        <v>Geography</v>
      </c>
      <c r="I5" s="20" t="str">
        <v>Local ◄──► State Wide</v>
      </c>
      <c r="J5" s="21" t="str">
        <v>Q10</v>
      </c>
      <c r="K5" s="22">
        <v>1.5</v>
      </c>
    </row>
    <row r="6">
      <c r="A6" s="23" t="str">
        <v>B04</v>
      </c>
      <c r="B6" s="17" t="str">
        <v>Financial Risk to State</v>
      </c>
      <c r="C6" s="24" t="str">
        <v>Low ◄──► High</v>
      </c>
      <c r="D6" s="25" t="str">
        <v>Q14</v>
      </c>
      <c r="E6" s="26">
        <v>1</v>
      </c>
      <c r="F6" s="18" t="str">
        <v/>
      </c>
      <c r="G6" s="23" t="str">
        <v>T04</v>
      </c>
      <c r="H6" s="17" t="str">
        <v>Hardware</v>
      </c>
      <c r="I6" s="24" t="str">
        <v>Proven ◄──► New</v>
      </c>
      <c r="J6" s="25" t="str">
        <v>Q26</v>
      </c>
      <c r="K6" s="26">
        <v>3.5</v>
      </c>
    </row>
    <row r="7">
      <c r="A7" s="19" t="str">
        <v>B05</v>
      </c>
      <c r="B7" s="11" t="str">
        <v>Geography</v>
      </c>
      <c r="C7" s="20" t="str">
        <v>Local ◄──► State Wide</v>
      </c>
      <c r="D7" s="21" t="str">
        <v>Q10</v>
      </c>
      <c r="E7" s="22">
        <v>1.5</v>
      </c>
      <c r="F7" s="18" t="str">
        <v/>
      </c>
      <c r="G7" s="19" t="str">
        <v>T05</v>
      </c>
      <c r="H7" s="11" t="str">
        <v>Level of Integration</v>
      </c>
      <c r="I7" s="20" t="str">
        <v>Stand-alone ◄──► Tightly Integrated</v>
      </c>
      <c r="J7" s="21" t="str">
        <v>Q24</v>
      </c>
      <c r="K7" s="22">
        <v>2</v>
      </c>
    </row>
    <row r="8">
      <c r="A8" s="23" t="str">
        <v>B06</v>
      </c>
      <c r="B8" s="17" t="str">
        <v>High-Level Requirements</v>
      </c>
      <c r="C8" s="24" t="str">
        <v>Clear and Stable ◄──► Vague</v>
      </c>
      <c r="D8" s="25" t="str">
        <v>Q27</v>
      </c>
      <c r="E8" s="26">
        <v>2.5</v>
      </c>
      <c r="F8" s="18" t="str">
        <v/>
      </c>
      <c r="G8" s="23" t="str">
        <v>T06</v>
      </c>
      <c r="H8" s="17" t="str">
        <v>Networks (L/W)</v>
      </c>
      <c r="I8" s="24" t="str">
        <v>Proven/Stable ◄──► New</v>
      </c>
      <c r="J8" s="25" t="str">
        <v>Q26</v>
      </c>
      <c r="K8" s="26">
        <v>3.5</v>
      </c>
    </row>
    <row r="9">
      <c r="A9" s="19" t="str">
        <v>B07</v>
      </c>
      <c r="B9" s="11" t="str">
        <v>Interaction w/ Other Depts</v>
      </c>
      <c r="C9" s="20" t="str">
        <v>Few &amp; Routine ◄──► Many and New</v>
      </c>
      <c r="D9" s="21" t="str">
        <v>Q17</v>
      </c>
      <c r="E9" s="22">
        <v>2.5</v>
      </c>
      <c r="F9" s="18" t="str">
        <v/>
      </c>
      <c r="G9" s="19" t="str">
        <v>T07</v>
      </c>
      <c r="H9" s="11" t="str">
        <v>New Technology Architecture</v>
      </c>
      <c r="I9" s="20" t="str">
        <v>In place ◄──► Not in place</v>
      </c>
      <c r="J9" s="21" t="str">
        <v>Q26</v>
      </c>
      <c r="K9" s="22">
        <v>4</v>
      </c>
    </row>
    <row r="10">
      <c r="A10" s="23" t="str">
        <v>B08</v>
      </c>
      <c r="B10" s="17" t="str">
        <v>Impact to Business Process</v>
      </c>
      <c r="C10" s="24" t="str">
        <v>None ◄──► High</v>
      </c>
      <c r="D10" s="25" t="str">
        <v>Q27</v>
      </c>
      <c r="E10" s="26">
        <v>2.5</v>
      </c>
      <c r="F10" s="18" t="str">
        <v/>
      </c>
      <c r="G10" s="23" t="str">
        <v>T08</v>
      </c>
      <c r="H10" s="17" t="str">
        <v>Operations</v>
      </c>
      <c r="I10" s="24" t="str">
        <v>9-5, Mon-Fri ◄──► 24-hour, 7-day</v>
      </c>
      <c r="J10" s="25" t="str">
        <v>Q10</v>
      </c>
      <c r="K10" s="26">
        <v>1.5</v>
      </c>
    </row>
    <row r="11">
      <c r="A11" s="19" t="str">
        <v>B09</v>
      </c>
      <c r="B11" s="11" t="str">
        <v>Issues</v>
      </c>
      <c r="C11" s="20" t="str">
        <v>Few &amp; Straight Forward ◄──► Multiple &amp; Contentious</v>
      </c>
      <c r="D11" s="21" t="str">
        <v>Q08</v>
      </c>
      <c r="E11" s="22">
        <v>1</v>
      </c>
      <c r="F11" s="18" t="str">
        <v/>
      </c>
      <c r="G11" s="19" t="str">
        <v>T09</v>
      </c>
      <c r="H11" s="11" t="str">
        <v>Team Technical Experience</v>
      </c>
      <c r="I11" s="20" t="str">
        <v>—</v>
      </c>
      <c r="J11" s="21" t="str">
        <v>Q11</v>
      </c>
      <c r="K11" s="22">
        <v>2.5</v>
      </c>
    </row>
    <row r="12">
      <c r="A12" s="23" t="str">
        <v>B10</v>
      </c>
      <c r="B12" s="17" t="str">
        <v>Level of Authority</v>
      </c>
      <c r="C12" s="24" t="str">
        <v>High ◄──► Low</v>
      </c>
      <c r="D12" s="25" t="str">
        <v>Q17</v>
      </c>
      <c r="E12" s="26">
        <v>2.5</v>
      </c>
      <c r="F12" s="18" t="str">
        <v/>
      </c>
      <c r="G12" s="23" t="str">
        <v>T10</v>
      </c>
      <c r="H12" s="17" t="str">
        <v>Scope Management Process</v>
      </c>
      <c r="I12" s="24" t="str">
        <v>Established and in use ◄──► None</v>
      </c>
      <c r="J12" s="25" t="str">
        <v>Q01</v>
      </c>
      <c r="K12" s="26">
        <v>3.5</v>
      </c>
    </row>
    <row r="13">
      <c r="A13" s="19" t="str">
        <v>B11</v>
      </c>
      <c r="B13" s="11" t="str">
        <v>Objectives</v>
      </c>
      <c r="C13" s="20" t="str">
        <v>Clear ◄──► Vague</v>
      </c>
      <c r="D13" s="21" t="str">
        <v>Q27</v>
      </c>
      <c r="E13" s="22">
        <v>2.5</v>
      </c>
      <c r="F13" s="18" t="str">
        <v/>
      </c>
      <c r="G13" s="19" t="str">
        <v>T11</v>
      </c>
      <c r="H13" s="11" t="str">
        <v>Security</v>
      </c>
      <c r="I13" s="20" t="str">
        <v>Light ◄──► Tight</v>
      </c>
      <c r="J13" s="21" t="str">
        <v>—</v>
      </c>
      <c r="K13" s="22">
        <v>4</v>
      </c>
    </row>
    <row r="14">
      <c r="A14" s="23" t="str">
        <v>B12</v>
      </c>
      <c r="B14" s="17" t="str">
        <v>Policies</v>
      </c>
      <c r="C14" s="24" t="str">
        <v>Established ◄──► Non-existent</v>
      </c>
      <c r="D14" s="25" t="str">
        <v>Q08</v>
      </c>
      <c r="E14" s="26">
        <v>1</v>
      </c>
      <c r="F14" s="18" t="str">
        <v/>
      </c>
      <c r="G14" s="23" t="str">
        <v>T12</v>
      </c>
      <c r="H14" s="17" t="str">
        <v>Software</v>
      </c>
      <c r="I14" s="24" t="str">
        <v>Proven ◄──► New</v>
      </c>
      <c r="J14" s="25" t="str">
        <v>Q26</v>
      </c>
      <c r="K14" s="26">
        <v>4</v>
      </c>
    </row>
    <row r="15">
      <c r="A15" s="19" t="str">
        <v>B13</v>
      </c>
      <c r="B15" s="11" t="str">
        <v>Politics</v>
      </c>
      <c r="C15" s="20" t="str">
        <v>Minimal ◄──► High</v>
      </c>
      <c r="D15" s="21" t="str">
        <v>Q10</v>
      </c>
      <c r="E15" s="22">
        <v>1.5</v>
      </c>
      <c r="F15" s="18" t="str">
        <v/>
      </c>
      <c r="G15" s="19" t="str">
        <v>T13</v>
      </c>
      <c r="H15" s="11" t="str">
        <v>Standards &amp; Methods</v>
      </c>
      <c r="I15" s="20" t="str">
        <v>Established and In Use ◄──► None</v>
      </c>
      <c r="J15" s="21" t="str">
        <v>Q01</v>
      </c>
      <c r="K15" s="22">
        <v>3.5</v>
      </c>
    </row>
    <row r="16">
      <c r="A16" s="23" t="str">
        <v>B14</v>
      </c>
      <c r="B16" s="17" t="str">
        <v>Target Users</v>
      </c>
      <c r="C16" s="24" t="str">
        <v>Familiar ◄──► Unfamiliar</v>
      </c>
      <c r="D16" s="25" t="str">
        <v>Q10</v>
      </c>
      <c r="E16" s="26">
        <v>1.5</v>
      </c>
      <c r="F16" s="18" t="str">
        <v/>
      </c>
      <c r="G16" s="23" t="str">
        <v>T14</v>
      </c>
      <c r="H16" s="17" t="str">
        <v>Team</v>
      </c>
      <c r="I16" s="24" t="str">
        <v>Experienced ◄──► Inexperienced</v>
      </c>
      <c r="J16" s="25" t="str">
        <v>Q26</v>
      </c>
      <c r="K16" s="26">
        <v>3.5</v>
      </c>
    </row>
    <row r="17">
      <c r="A17" s="19" t="str">
        <v>B15</v>
      </c>
      <c r="B17" s="11" t="str">
        <v>Team Experience</v>
      </c>
      <c r="C17" s="20" t="str">
        <v>—</v>
      </c>
      <c r="D17" s="21" t="str">
        <v>Q11</v>
      </c>
      <c r="E17" s="22">
        <v>2.5</v>
      </c>
      <c r="F17" s="18" t="str">
        <v/>
      </c>
      <c r="G17" s="19" t="str">
        <v>T15</v>
      </c>
      <c r="H17" s="11" t="str">
        <v>Tolerance to Fault</v>
      </c>
      <c r="I17" s="20" t="str">
        <v>High ◄──► Low</v>
      </c>
      <c r="J17" s="21" t="str">
        <v>—</v>
      </c>
      <c r="K17" s="22">
        <v>2</v>
      </c>
    </row>
    <row r="18">
      <c r="A18" s="23" t="str">
        <v>B16</v>
      </c>
      <c r="B18" s="17" t="str">
        <v>Team</v>
      </c>
      <c r="C18" s="24" t="str">
        <v>Experienced ◄──► Inexperienced</v>
      </c>
      <c r="D18" s="25" t="str">
        <v>Q18</v>
      </c>
      <c r="E18" s="26">
        <v>1</v>
      </c>
      <c r="F18" s="18" t="str">
        <v/>
      </c>
      <c r="G18" s="23" t="str">
        <v>T16</v>
      </c>
      <c r="H18" s="17" t="str">
        <v>Transaction Volume</v>
      </c>
      <c r="I18" s="24" t="str">
        <v>Low ◄──► High</v>
      </c>
      <c r="J18" s="25" t="str">
        <v>Q10</v>
      </c>
      <c r="K18" s="26">
        <v>1.5</v>
      </c>
    </row>
    <row r="19">
      <c r="A19" s="19" t="str">
        <v>B17</v>
      </c>
      <c r="B19" s="11" t="str">
        <v>Time Scale</v>
      </c>
      <c r="C19" s="20" t="str">
        <v>Loose ◄──► Tight</v>
      </c>
      <c r="D19" s="21" t="str">
        <v>Q08</v>
      </c>
      <c r="E19" s="22">
        <v>1.5</v>
      </c>
      <c r="F19" s="18" t="str">
        <v/>
      </c>
      <c r="G19" s="18" t="str">
        <v/>
      </c>
      <c r="H19" s="27" t="str">
        <v>Live verdict (updates if you edit ratings):</v>
      </c>
      <c r="I19" s="18" t="str">
        <v/>
      </c>
      <c r="J19" s="18" t="str">
        <v/>
      </c>
      <c r="K19" s="18" t="str">
        <v/>
      </c>
    </row>
    <row r="20">
      <c r="A20" s="23" t="str">
        <v>B18</v>
      </c>
      <c r="B20" s="17" t="str">
        <v>Visibility</v>
      </c>
      <c r="C20" s="24" t="str">
        <v>Low ◄──► High</v>
      </c>
      <c r="D20" s="25" t="str">
        <v>Q10</v>
      </c>
      <c r="E20" s="26">
        <v>1.5</v>
      </c>
      <c r="F20" s="18" t="str">
        <v/>
      </c>
      <c r="G20" s="18" t="str">
        <v/>
      </c>
      <c r="H20" s="6" t="str">
        <v>Complexity Zone</v>
      </c>
      <c r="I20" s="18" t="str">
        <v/>
      </c>
      <c r="J20" s="18" t="str">
        <v/>
      </c>
      <c r="K20" s="8" t="str">
        <f>IF(AND(E22&gt;=2.5,E23&gt;=2.5),"IV",IF(E22&gt;=2.5,"III",IF(E23&gt;=2.5,"II","I")))</f>
        <v>II</v>
      </c>
    </row>
    <row r="21">
      <c r="A21" s="18" t="str">
        <v/>
      </c>
      <c r="B21" s="18" t="str">
        <v/>
      </c>
      <c r="C21" s="18" t="str">
        <v/>
      </c>
      <c r="D21" s="18" t="str">
        <v/>
      </c>
      <c r="E21" s="18" t="str">
        <v/>
      </c>
      <c r="F21" s="18" t="str">
        <v/>
      </c>
      <c r="G21" s="18" t="str">
        <v/>
      </c>
      <c r="H21" s="6" t="str">
        <v>Value Score (from intake)</v>
      </c>
      <c r="I21" s="18" t="str">
        <v/>
      </c>
      <c r="J21" s="18" t="str">
        <v/>
      </c>
      <c r="K21" s="8">
        <v>24</v>
      </c>
    </row>
    <row r="22">
      <c r="A22" s="18" t="str">
        <v/>
      </c>
      <c r="B22" s="6" t="str">
        <v>Business Complexity (avg)</v>
      </c>
      <c r="C22" s="18" t="str">
        <v/>
      </c>
      <c r="D22" s="18" t="str">
        <v/>
      </c>
      <c r="E22" s="8">
        <f>ROUND(AVERAGE(E3:E20),2)</f>
        <v>1.89</v>
      </c>
      <c r="F22" s="18" t="str">
        <v/>
      </c>
      <c r="G22" s="18" t="str">
        <v/>
      </c>
      <c r="H22" s="6" t="str">
        <v>Value-to-Complexity (V–C)</v>
      </c>
      <c r="I22" s="18" t="str">
        <v/>
      </c>
      <c r="J22" s="18" t="str">
        <v/>
      </c>
      <c r="K22" s="8">
        <f>ROUND(K21-((E22+E23)/2)*2.5,0)</f>
        <v>18</v>
      </c>
    </row>
    <row r="23">
      <c r="A23" s="18" t="str">
        <v/>
      </c>
      <c r="B23" s="6" t="str">
        <v>Technical Complexity (avg)</v>
      </c>
      <c r="C23" s="18" t="str">
        <v/>
      </c>
      <c r="D23" s="18" t="str">
        <v/>
      </c>
      <c r="E23" s="8">
        <f>ROUND(AVERAGE(K3:K18),2)</f>
        <v>2.88</v>
      </c>
      <c r="F23" s="18" t="str">
        <v/>
      </c>
      <c r="G23" s="18" t="str">
        <v/>
      </c>
      <c r="H23" s="6" t="str">
        <v>V–C Read (band)</v>
      </c>
      <c r="I23" s="18" t="str">
        <v/>
      </c>
      <c r="J23" s="18" t="str">
        <v/>
      </c>
      <c r="K23" s="8" t="str">
        <f>IF(K22&gt;=80,"Full",IF(AND(K21&lt;60,((E22+E23)/2)&lt;2.5),"Mini","Standard"))</f>
        <v>Mini</v>
      </c>
    </row>
  </sheetData>
  <mergeCells count="8">
    <mergeCell ref="A1:K1"/>
    <mergeCell ref="B21:D21"/>
    <mergeCell ref="B22:D22"/>
    <mergeCell ref="H18:J18"/>
    <mergeCell ref="H19:J19"/>
    <mergeCell ref="H20:J20"/>
    <mergeCell ref="H21:J21"/>
    <mergeCell ref="H22:J22"/>
  </mergeCells>
  <pageMargins left="0.3" right="0.3" top="0.4" bottom="0.4" header="0.2" footer="0.2"/>
  <ignoredErrors>
    <ignoredError numberStoredAsText="1" sqref="A1:K23"/>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cols>
    <col min="1" max="1" width="34.83203125" customWidth="1"/>
    <col min="2" max="2" width="15.83203125" customWidth="1"/>
    <col min="3" max="3" width="9.83203125" customWidth="1"/>
    <col min="4" max="4" width="5.83203125" customWidth="1"/>
    <col min="5" max="5" width="22.83203125" customWidth="1"/>
  </cols>
  <sheetData>
    <row r="1" ht="16" customHeight="1">
      <c r="A1" s="13" t="str">
        <v>EDD · ESPMO — Licenses for GitHub Copilot Pilot — DOCUMENTS</v>
      </c>
      <c r="B1" s="13" t="str">
        <v/>
      </c>
      <c r="C1" s="13" t="str">
        <v/>
      </c>
      <c r="D1" s="13" t="str">
        <v/>
      </c>
      <c r="E1" s="13" t="str">
        <v/>
      </c>
    </row>
    <row r="2">
      <c r="A2" s="28" t="str">
        <v>Only the documents triggered for this project. The "Why included" column names the question number(s) that pulled each one in — your audit trail back to the answers.</v>
      </c>
      <c r="B2" s="28" t="str">
        <v/>
      </c>
      <c r="C2" s="28" t="str">
        <v/>
      </c>
      <c r="D2" s="28" t="str">
        <v/>
      </c>
      <c r="E2" s="28" t="str">
        <v/>
      </c>
    </row>
    <row r="3">
      <c r="A3" s="14" t="str">
        <v>Document</v>
      </c>
      <c r="B3" s="14" t="str">
        <v>Assist / Advise</v>
      </c>
      <c r="C3" s="14" t="str">
        <v>Timing</v>
      </c>
      <c r="D3" s="14" t="str">
        <v>Tier</v>
      </c>
      <c r="E3" s="14" t="str">
        <v>Why included (which question)</v>
      </c>
    </row>
    <row r="4">
      <c r="A4" s="29" t="str">
        <v>Initiation &amp; Baseline</v>
      </c>
      <c r="B4" s="29" t="str">
        <v/>
      </c>
      <c r="C4" s="29" t="str">
        <v/>
      </c>
      <c r="D4" s="29" t="str">
        <v/>
      </c>
      <c r="E4" s="29" t="str">
        <v/>
      </c>
    </row>
    <row r="5">
      <c r="A5" s="11" t="str">
        <v>EAO Project Engagement Plan</v>
      </c>
      <c r="B5" s="30" t="str">
        <v>TARC</v>
      </c>
      <c r="C5" s="11" t="str">
        <v>Initiate</v>
      </c>
      <c r="D5" s="22" t="str">
        <v/>
      </c>
      <c r="E5" s="11" t="str">
        <v>Baseline — every project</v>
      </c>
    </row>
    <row r="6">
      <c r="A6" s="17" t="str">
        <v>Stakeholder Register</v>
      </c>
      <c r="B6" s="31" t="str">
        <v>PMO</v>
      </c>
      <c r="C6" s="17" t="str">
        <v>Initiate</v>
      </c>
      <c r="D6" s="26" t="str">
        <v/>
      </c>
      <c r="E6" s="17" t="str">
        <v>Baseline — every project</v>
      </c>
    </row>
    <row r="7">
      <c r="A7" s="11" t="str">
        <v>Engagement Matrix</v>
      </c>
      <c r="B7" s="31" t="str">
        <v>PMO</v>
      </c>
      <c r="C7" s="11" t="str">
        <v>Initiate</v>
      </c>
      <c r="D7" s="22" t="str">
        <v/>
      </c>
      <c r="E7" s="11" t="str">
        <v>Baseline — every project</v>
      </c>
    </row>
    <row r="8">
      <c r="A8" s="17" t="str">
        <v>RACI</v>
      </c>
      <c r="B8" s="31" t="str">
        <v>PMO</v>
      </c>
      <c r="C8" s="17" t="str">
        <v>Initiate</v>
      </c>
      <c r="D8" s="26" t="str">
        <v/>
      </c>
      <c r="E8" s="17" t="str">
        <v>Baseline — every project</v>
      </c>
    </row>
    <row r="9">
      <c r="A9" s="11" t="str">
        <v>RAID / CRAID Log</v>
      </c>
      <c r="B9" s="31" t="str">
        <v>PMO</v>
      </c>
      <c r="C9" s="11" t="str">
        <v>Ongoing</v>
      </c>
      <c r="D9" s="22" t="str">
        <v/>
      </c>
      <c r="E9" s="11" t="str">
        <v>Baseline — every project</v>
      </c>
    </row>
    <row r="10">
      <c r="A10" s="17" t="str">
        <v>Project Charter (Mini)</v>
      </c>
      <c r="B10" s="31" t="str">
        <v>PMO</v>
      </c>
      <c r="C10" s="17" t="str">
        <v>Initiate</v>
      </c>
      <c r="D10" s="26" t="str">
        <v/>
      </c>
      <c r="E10" s="17" t="str">
        <v>Baseline — every project</v>
      </c>
    </row>
    <row r="11">
      <c r="A11" s="29" t="str">
        <v>Planning</v>
      </c>
      <c r="B11" s="29" t="str">
        <v/>
      </c>
      <c r="C11" s="29" t="str">
        <v/>
      </c>
      <c r="D11" s="29" t="str">
        <v/>
      </c>
      <c r="E11" s="29" t="str">
        <v/>
      </c>
    </row>
    <row r="12">
      <c r="A12" s="17" t="str">
        <v>Project Schedule</v>
      </c>
      <c r="B12" s="31" t="str">
        <v>PMO</v>
      </c>
      <c r="C12" s="17" t="str">
        <v>Plan</v>
      </c>
      <c r="D12" s="26" t="str">
        <v/>
      </c>
      <c r="E12" s="17" t="str">
        <v>Baseline — every project</v>
      </c>
    </row>
    <row r="13">
      <c r="A13" s="11" t="str">
        <v>Project Management Plan (Mini)</v>
      </c>
      <c r="B13" s="31" t="str">
        <v>PMO</v>
      </c>
      <c r="C13" s="11" t="str">
        <v>Plan</v>
      </c>
      <c r="D13" s="22" t="str">
        <v/>
      </c>
      <c r="E13" s="11" t="str">
        <v>Baseline — every project</v>
      </c>
    </row>
    <row r="14">
      <c r="A14" s="17" t="str">
        <v>Requirements Documentation</v>
      </c>
      <c r="B14" s="31" t="str">
        <v>PMO</v>
      </c>
      <c r="C14" s="17" t="str">
        <v>Plan</v>
      </c>
      <c r="D14" s="26" t="str">
        <v/>
      </c>
      <c r="E14" s="17" t="str">
        <v>Q1 (delivery approach: predictive)</v>
      </c>
    </row>
    <row r="15">
      <c r="A15" s="11" t="str">
        <v>Test Plan &amp; Test Cases</v>
      </c>
      <c r="B15" s="31" t="str">
        <v>PMO</v>
      </c>
      <c r="C15" s="11" t="str">
        <v>Plan</v>
      </c>
      <c r="D15" s="22" t="str">
        <v/>
      </c>
      <c r="E15" s="11" t="str">
        <v>Q1 (delivery approach: predictive)</v>
      </c>
    </row>
    <row r="16">
      <c r="A16" s="17" t="str">
        <v>Training Plan</v>
      </c>
      <c r="B16" s="31" t="str">
        <v>PMO</v>
      </c>
      <c r="C16" s="17" t="str">
        <v>Plan</v>
      </c>
      <c r="D16" s="26" t="str">
        <v/>
      </c>
      <c r="E16" s="17" t="str">
        <v>Q1 (delivery approach: predictive)</v>
      </c>
    </row>
    <row r="17">
      <c r="A17" s="11" t="str">
        <v>Transition Plan</v>
      </c>
      <c r="B17" s="31" t="str">
        <v>PMO</v>
      </c>
      <c r="C17" s="11" t="str">
        <v>Plan</v>
      </c>
      <c r="D17" s="22" t="str">
        <v/>
      </c>
      <c r="E17" s="11" t="str">
        <v>Q1 (delivery approach: predictive)</v>
      </c>
    </row>
    <row r="18">
      <c r="A18" s="17" t="str">
        <v>Requirements Traceability Matrix</v>
      </c>
      <c r="B18" s="31" t="str">
        <v>PMO</v>
      </c>
      <c r="C18" s="17" t="str">
        <v>Plan</v>
      </c>
      <c r="D18" s="26" t="str">
        <v/>
      </c>
      <c r="E18" s="17" t="str">
        <v>Q1 (delivery approach: predictive)</v>
      </c>
    </row>
    <row r="19">
      <c r="A19" s="11" t="str">
        <v>Cloud Architecture Diagram</v>
      </c>
      <c r="B19" s="30" t="str">
        <v>TARC</v>
      </c>
      <c r="C19" s="11" t="str">
        <v>Plan</v>
      </c>
      <c r="D19" s="22" t="str">
        <v/>
      </c>
      <c r="E19" s="11" t="str">
        <v>Q29 — cloud / infra</v>
      </c>
    </row>
    <row r="20">
      <c r="A20" s="29" t="str">
        <v>Security &amp; Risk</v>
      </c>
      <c r="B20" s="29" t="str">
        <v/>
      </c>
      <c r="C20" s="29" t="str">
        <v/>
      </c>
      <c r="D20" s="29" t="str">
        <v/>
      </c>
      <c r="E20" s="29" t="str">
        <v/>
      </c>
    </row>
    <row r="21">
      <c r="A21" s="11" t="str">
        <v>C&amp;A Package</v>
      </c>
      <c r="B21" s="30" t="str">
        <v>TARC</v>
      </c>
      <c r="C21" s="11" t="str">
        <v>Execute</v>
      </c>
      <c r="D21" s="22" t="str">
        <v/>
      </c>
      <c r="E21" s="11" t="str">
        <v>Q28 — security review</v>
      </c>
    </row>
    <row r="22">
      <c r="A22" s="17" t="str">
        <v>ISRP</v>
      </c>
      <c r="B22" s="30" t="str">
        <v>TARC</v>
      </c>
      <c r="C22" s="17" t="str">
        <v>Execute</v>
      </c>
      <c r="D22" s="26" t="str">
        <v/>
      </c>
      <c r="E22" s="17" t="str">
        <v>Q28 — security review</v>
      </c>
    </row>
    <row r="23">
      <c r="A23" s="11" t="str">
        <v>SIEM / Logging Kickoff</v>
      </c>
      <c r="B23" s="30" t="str">
        <v>TARC</v>
      </c>
      <c r="C23" s="11" t="str">
        <v>Execute</v>
      </c>
      <c r="D23" s="22" t="str">
        <v/>
      </c>
      <c r="E23" s="11" t="str">
        <v>Q28 — security review</v>
      </c>
    </row>
    <row r="24">
      <c r="A24" s="17" t="str">
        <v>Vulnerability Scan &amp; Pen Test</v>
      </c>
      <c r="B24" s="30" t="str">
        <v>TARC</v>
      </c>
      <c r="C24" s="17" t="str">
        <v>Execute</v>
      </c>
      <c r="D24" s="26" t="str">
        <v/>
      </c>
      <c r="E24" s="17" t="str">
        <v>Q28 — security review</v>
      </c>
    </row>
    <row r="25">
      <c r="A25" s="11" t="str">
        <v>Cloud Documentation</v>
      </c>
      <c r="B25" s="30" t="str">
        <v>TARC</v>
      </c>
      <c r="C25" s="11" t="str">
        <v>Execute</v>
      </c>
      <c r="D25" s="22" t="str">
        <v/>
      </c>
      <c r="E25" s="11" t="str">
        <v>Q29 — cloud / infra</v>
      </c>
    </row>
    <row r="26">
      <c r="A26" s="17" t="str">
        <v>Cloud Review</v>
      </c>
      <c r="B26" s="30" t="str">
        <v>TARC</v>
      </c>
      <c r="C26" s="17" t="str">
        <v>Execute</v>
      </c>
      <c r="D26" s="26" t="str">
        <v/>
      </c>
      <c r="E26" s="17" t="str">
        <v>Q29 — cloud / infra</v>
      </c>
    </row>
    <row r="27">
      <c r="A27" s="11" t="str">
        <v>TARC</v>
      </c>
      <c r="B27" s="30" t="str">
        <v>TARC</v>
      </c>
      <c r="C27" s="11" t="str">
        <v>Execute</v>
      </c>
      <c r="D27" s="22" t="str">
        <v/>
      </c>
      <c r="E27" s="11" t="str">
        <v>Q29 — cloud / infra</v>
      </c>
    </row>
    <row r="28">
      <c r="A28" s="29" t="str">
        <v>Release &amp; Production</v>
      </c>
      <c r="B28" s="29" t="str">
        <v/>
      </c>
      <c r="C28" s="29" t="str">
        <v/>
      </c>
      <c r="D28" s="29" t="str">
        <v/>
      </c>
      <c r="E28" s="29" t="str">
        <v/>
      </c>
    </row>
    <row r="29">
      <c r="A29" s="11" t="str">
        <v>Implementation Plan</v>
      </c>
      <c r="B29" s="30" t="str">
        <v>TARC → Development Team</v>
      </c>
      <c r="C29" s="11" t="str">
        <v>Execute</v>
      </c>
      <c r="D29" s="22" t="str">
        <v/>
      </c>
      <c r="E29" s="11" t="str">
        <v>Baseline — every project</v>
      </c>
    </row>
    <row r="30">
      <c r="A30" s="17" t="str">
        <v>Rollback Plan</v>
      </c>
      <c r="B30" s="30" t="str">
        <v>TARC → Development Team</v>
      </c>
      <c r="C30" s="17" t="str">
        <v>Execute</v>
      </c>
      <c r="D30" s="26" t="str">
        <v/>
      </c>
      <c r="E30" s="17" t="str">
        <v>Q13 — new service</v>
      </c>
    </row>
    <row r="31">
      <c r="A31" s="11" t="str">
        <v>RFC / RRB</v>
      </c>
      <c r="B31" s="30" t="str">
        <v>TARC → Development Team</v>
      </c>
      <c r="C31" s="11" t="str">
        <v>Execute</v>
      </c>
      <c r="D31" s="22" t="str">
        <v/>
      </c>
      <c r="E31" s="11" t="str">
        <v>Q13 — new service</v>
      </c>
    </row>
    <row r="32">
      <c r="A32" s="17" t="str">
        <v>RRR Checklist</v>
      </c>
      <c r="B32" s="30" t="str">
        <v>TARC → Development Team</v>
      </c>
      <c r="C32" s="17" t="str">
        <v>Execute</v>
      </c>
      <c r="D32" s="26" t="str">
        <v/>
      </c>
      <c r="E32" s="17" t="str">
        <v>Q13 — new service</v>
      </c>
    </row>
    <row r="33">
      <c r="A33" s="11" t="str">
        <v>Hypercare / Production Readiness</v>
      </c>
      <c r="B33" s="30" t="str">
        <v>TARC</v>
      </c>
      <c r="C33" s="11" t="str">
        <v>Execute</v>
      </c>
      <c r="D33" s="22" t="str">
        <v/>
      </c>
      <c r="E33" s="11" t="str">
        <v>Q13 — new service</v>
      </c>
    </row>
    <row r="34">
      <c r="A34" s="29" t="str">
        <v>Quality &amp; Sustainment</v>
      </c>
      <c r="B34" s="29" t="str">
        <v/>
      </c>
      <c r="C34" s="29" t="str">
        <v/>
      </c>
      <c r="D34" s="29" t="str">
        <v/>
      </c>
      <c r="E34" s="29" t="str">
        <v/>
      </c>
    </row>
    <row r="35">
      <c r="A35" s="11" t="str">
        <v>Test Strategy</v>
      </c>
      <c r="B35" s="30" t="str">
        <v>TARC</v>
      </c>
      <c r="C35" s="11" t="str">
        <v>Plan</v>
      </c>
      <c r="D35" s="22" t="str">
        <v/>
      </c>
      <c r="E35" s="11" t="str">
        <v>Q30 — testing</v>
      </c>
    </row>
    <row r="36">
      <c r="A36" s="29" t="str">
        <v>Closeout &amp; Governance</v>
      </c>
      <c r="B36" s="29" t="str">
        <v/>
      </c>
      <c r="C36" s="29" t="str">
        <v/>
      </c>
      <c r="D36" s="29" t="str">
        <v/>
      </c>
      <c r="E36" s="29" t="str">
        <v/>
      </c>
    </row>
    <row r="37">
      <c r="A37" s="11" t="str">
        <v>Status Reporting</v>
      </c>
      <c r="B37" s="31" t="str">
        <v>PMO</v>
      </c>
      <c r="C37" s="11" t="str">
        <v>Ongoing</v>
      </c>
      <c r="D37" s="22" t="str">
        <v/>
      </c>
      <c r="E37" s="11" t="str">
        <v>Baseline — every project</v>
      </c>
    </row>
    <row r="38">
      <c r="A38" s="17" t="str">
        <v>Closeout Report</v>
      </c>
      <c r="B38" s="31" t="str">
        <v>PMO</v>
      </c>
      <c r="C38" s="17" t="str">
        <v>Close</v>
      </c>
      <c r="D38" s="26" t="str">
        <v/>
      </c>
      <c r="E38" s="17" t="str">
        <v>Baseline — every project</v>
      </c>
    </row>
    <row r="39">
      <c r="A39" s="11" t="str">
        <v>Lessons Learned</v>
      </c>
      <c r="B39" s="31" t="str">
        <v>PMO</v>
      </c>
      <c r="C39" s="11" t="str">
        <v>Close</v>
      </c>
      <c r="D39" s="22" t="str">
        <v/>
      </c>
      <c r="E39" s="11" t="str">
        <v>Baseline — every project</v>
      </c>
    </row>
    <row r="40">
      <c r="A40" s="17" t="str">
        <v>Delegated Approvals</v>
      </c>
      <c r="B40" s="31" t="str">
        <v>PMO</v>
      </c>
      <c r="C40" s="17" t="str">
        <v>Ongoing</v>
      </c>
      <c r="D40" s="26" t="str">
        <v/>
      </c>
      <c r="E40" s="17" t="str">
        <v>Baseline — every project</v>
      </c>
    </row>
    <row r="41">
      <c r="A41" s="5" t="str">
        <v/>
      </c>
      <c r="B41" s="5" t="str">
        <v/>
      </c>
      <c r="C41" s="5" t="str">
        <v/>
      </c>
      <c r="D41" s="5" t="str">
        <v/>
      </c>
      <c r="E41" s="5" t="str">
        <v/>
      </c>
    </row>
    <row r="42">
      <c r="A42" s="32" t="str">
        <v>Download the official CA-PMF templates for these artifacts: https://www.capmf.cdt.ca.gov/Templates.html</v>
      </c>
      <c r="B42" s="5" t="str">
        <v/>
      </c>
      <c r="C42" s="5" t="str">
        <v/>
      </c>
      <c r="D42" s="5" t="str">
        <v/>
      </c>
      <c r="E42" s="5" t="str">
        <v/>
      </c>
    </row>
    <row r="44">
      <c r="A44" s="12" t="str">
        <v>EDD · ESPMO Project Profiler   ·   Licenses for GitHub Copilot Pilot   ·   Sheet 4 of 8   ·   Generated Jul 6, 2026</v>
      </c>
      <c r="B44" s="12" t="str">
        <v/>
      </c>
      <c r="C44" s="12" t="str">
        <v/>
      </c>
      <c r="D44" s="12" t="str">
        <v/>
      </c>
      <c r="E44" s="12" t="str">
        <v/>
      </c>
    </row>
  </sheetData>
  <mergeCells count="3">
    <mergeCell ref="A1:E1"/>
    <mergeCell ref="A44:E44"/>
    <mergeCell ref="A2:E2"/>
  </mergeCells>
  <pageMargins left="0.3" right="0.3" top="0.4" bottom="0.4" header="0.2" footer="0.2"/>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K38"/>
  <sheetViews>
    <sheetView workbookViewId="0"/>
  </sheetViews>
  <cols>
    <col min="1" max="1" width="10.83203125" customWidth="1"/>
    <col min="2" max="2" width="6.83203125" customWidth="1"/>
    <col min="3" max="3" width="6.83203125" customWidth="1"/>
    <col min="4" max="4" width="6.83203125" customWidth="1"/>
    <col min="5" max="5" width="6.83203125" customWidth="1"/>
    <col min="6" max="6" width="6.83203125" customWidth="1"/>
    <col min="7" max="7" width="6.83203125" customWidth="1"/>
    <col min="8" max="8" width="6.83203125" customWidth="1"/>
    <col min="9" max="9" width="6.83203125" customWidth="1"/>
    <col min="10" max="10" width="6.83203125" customWidth="1"/>
    <col min="11" max="11" width="6.83203125" customWidth="1"/>
  </cols>
  <sheetData>
    <row r="1" ht="18" customHeight="1">
      <c r="A1" s="13" t="str">
        <v>EDD · ESPMO — Licenses for GitHub Copilot Pilot — MAPS</v>
      </c>
      <c r="B1" s="13" t="str">
        <v/>
      </c>
      <c r="C1" s="13" t="str">
        <v/>
      </c>
      <c r="D1" s="13" t="str">
        <v/>
      </c>
      <c r="E1" s="13" t="str">
        <v/>
      </c>
      <c r="F1" s="13" t="str">
        <v/>
      </c>
      <c r="G1" s="13" t="str">
        <v/>
      </c>
      <c r="H1" s="13" t="str">
        <v/>
      </c>
      <c r="I1" s="13" t="str">
        <v/>
      </c>
      <c r="J1" s="13" t="str">
        <v/>
      </c>
      <c r="K1" s="13" t="str">
        <v/>
      </c>
    </row>
    <row r="2" ht="18" customHeight="1">
      <c r="A2" s="18" t="str">
        <v/>
      </c>
    </row>
    <row r="3" ht="18" customHeight="1">
      <c r="A3" s="33" t="str">
        <v>Value × Complexity Map</v>
      </c>
      <c r="B3" s="33" t="str">
        <v/>
      </c>
      <c r="C3" s="33" t="str">
        <v/>
      </c>
      <c r="D3" s="33" t="str">
        <v/>
      </c>
      <c r="E3" s="33" t="str">
        <v/>
      </c>
      <c r="F3" s="33" t="str">
        <v/>
      </c>
      <c r="G3" s="33" t="str">
        <v/>
      </c>
      <c r="H3" s="33" t="str">
        <v/>
      </c>
      <c r="I3" s="33" t="str">
        <v/>
      </c>
      <c r="J3" s="33" t="str">
        <v/>
      </c>
      <c r="K3" s="33" t="str">
        <v/>
      </c>
    </row>
    <row r="4" ht="18" customHeight="1">
      <c r="A4" s="34" t="str">
        <v>Where this project lands — Value (vertical) against Complexity (horizontal)</v>
      </c>
      <c r="B4" s="34" t="str">
        <v/>
      </c>
      <c r="C4" s="34" t="str">
        <v/>
      </c>
      <c r="D4" s="34" t="str">
        <v/>
      </c>
      <c r="E4" s="34" t="str">
        <v/>
      </c>
      <c r="F4" s="34" t="str">
        <v/>
      </c>
      <c r="G4" s="34" t="str">
        <v/>
      </c>
      <c r="H4" s="34" t="str">
        <v/>
      </c>
      <c r="I4" s="34" t="str">
        <v/>
      </c>
      <c r="J4" s="34" t="str">
        <v/>
      </c>
      <c r="K4" s="34" t="str">
        <v/>
      </c>
    </row>
    <row r="5" ht="18" customHeight="1">
      <c r="A5" s="18" t="str">
        <v/>
      </c>
    </row>
    <row r="6" ht="18" customHeight="1">
      <c r="A6" s="35" t="str">
        <v>100</v>
      </c>
      <c r="B6" s="36" t="str">
        <v/>
      </c>
      <c r="C6" s="36" t="str">
        <v/>
      </c>
      <c r="E6" s="37" t="str">
        <v/>
      </c>
      <c r="F6" s="37" t="str">
        <v/>
      </c>
      <c r="G6" s="37" t="str">
        <v/>
      </c>
      <c r="H6" s="37" t="str">
        <v/>
      </c>
      <c r="I6" s="37" t="str">
        <v/>
      </c>
      <c r="J6" s="37" t="str">
        <v/>
      </c>
      <c r="K6" s="37" t="str">
        <v/>
      </c>
    </row>
    <row r="7" ht="18" customHeight="1">
      <c r="A7" s="18" t="str">
        <v/>
      </c>
      <c r="B7" s="37" t="str">
        <v/>
      </c>
      <c r="C7" s="37" t="str">
        <v/>
      </c>
      <c r="D7" s="37" t="str">
        <v/>
      </c>
      <c r="E7" s="37" t="str">
        <v/>
      </c>
      <c r="F7" s="38" t="str">
        <v/>
      </c>
      <c r="G7" s="39" t="str">
        <v/>
      </c>
      <c r="H7" s="39" t="str">
        <v/>
      </c>
      <c r="I7" s="40" t="str">
        <v/>
      </c>
      <c r="J7" s="40" t="str">
        <v/>
      </c>
      <c r="K7" s="40" t="str">
        <v/>
      </c>
    </row>
    <row r="8" ht="18" customHeight="1">
      <c r="A8" s="18" t="str">
        <v/>
      </c>
      <c r="B8" s="40" t="str">
        <v/>
      </c>
      <c r="C8" s="40" t="str">
        <v/>
      </c>
      <c r="D8" s="40" t="str">
        <v/>
      </c>
      <c r="E8" s="41" t="str">
        <v>Full</v>
      </c>
      <c r="F8" s="40" t="str">
        <v/>
      </c>
      <c r="G8" s="40" t="str">
        <v/>
      </c>
      <c r="H8" s="40" t="str">
        <v/>
      </c>
      <c r="I8" s="40" t="str">
        <v/>
      </c>
      <c r="J8" s="40" t="str">
        <v/>
      </c>
      <c r="K8" s="40" t="str">
        <v/>
      </c>
    </row>
    <row r="9" ht="18" customHeight="1">
      <c r="A9" s="35" t="str">
        <v>75</v>
      </c>
      <c r="B9" s="40" t="str">
        <v/>
      </c>
      <c r="C9" s="40" t="str">
        <v/>
      </c>
      <c r="D9" s="40" t="str">
        <v/>
      </c>
      <c r="E9" s="40" t="str">
        <v/>
      </c>
      <c r="F9" s="42" t="str">
        <v/>
      </c>
      <c r="G9" s="43" t="str">
        <v/>
      </c>
      <c r="H9" s="43" t="str">
        <v/>
      </c>
      <c r="I9" s="44" t="str">
        <v/>
      </c>
      <c r="J9" s="44" t="str">
        <v/>
      </c>
      <c r="K9" s="44" t="str">
        <v/>
      </c>
    </row>
    <row r="10" ht="18" customHeight="1">
      <c r="A10" s="18" t="str">
        <v/>
      </c>
      <c r="B10" s="44" t="str">
        <v/>
      </c>
      <c r="C10" s="44" t="str">
        <v/>
      </c>
      <c r="D10" s="44" t="str">
        <v/>
      </c>
      <c r="E10" s="44" t="str">
        <v/>
      </c>
      <c r="F10" s="45" t="str">
        <v>Standard</v>
      </c>
      <c r="G10" s="44" t="str">
        <v/>
      </c>
      <c r="H10" s="44" t="str">
        <v/>
      </c>
      <c r="I10" s="44" t="str">
        <v/>
      </c>
      <c r="J10" s="44" t="str">
        <v/>
      </c>
      <c r="K10" s="44" t="str">
        <v/>
      </c>
    </row>
    <row r="11" ht="18" customHeight="1">
      <c r="A11" s="35" t="str">
        <v>50</v>
      </c>
      <c r="B11" s="44" t="str">
        <v/>
      </c>
      <c r="C11" s="44" t="str">
        <v/>
      </c>
      <c r="D11" s="44" t="str">
        <v/>
      </c>
      <c r="E11" s="44" t="str">
        <v/>
      </c>
      <c r="F11" s="44" t="str">
        <v/>
      </c>
      <c r="G11" s="44" t="str">
        <v/>
      </c>
      <c r="H11" s="44" t="str">
        <v/>
      </c>
      <c r="I11" s="44" t="str">
        <v/>
      </c>
      <c r="J11" s="44" t="str">
        <v/>
      </c>
      <c r="K11" s="44" t="str">
        <v/>
      </c>
    </row>
    <row r="12" ht="18" customHeight="1">
      <c r="A12" s="46" t="str">
        <v>VALUE</v>
      </c>
      <c r="B12" s="44" t="str">
        <v/>
      </c>
      <c r="C12" s="44" t="str">
        <v/>
      </c>
      <c r="D12" s="44" t="str">
        <v/>
      </c>
      <c r="E12" s="44" t="str">
        <v/>
      </c>
      <c r="F12" s="44" t="str">
        <v/>
      </c>
      <c r="G12" s="44" t="str">
        <v/>
      </c>
      <c r="H12" s="44" t="str">
        <v/>
      </c>
      <c r="I12" s="44" t="str">
        <v/>
      </c>
      <c r="J12" s="44" t="str">
        <v/>
      </c>
      <c r="K12" s="44" t="str">
        <v/>
      </c>
    </row>
    <row r="13" ht="18" customHeight="1">
      <c r="A13" s="18" t="str">
        <v/>
      </c>
      <c r="B13" s="44" t="str">
        <v/>
      </c>
      <c r="C13" s="44" t="str">
        <v/>
      </c>
      <c r="D13" s="44" t="str">
        <v/>
      </c>
      <c r="E13" s="45" t="str">
        <v>Mini</v>
      </c>
      <c r="F13" s="44" t="str">
        <v/>
      </c>
      <c r="G13" s="44" t="str">
        <v/>
      </c>
      <c r="H13" s="47" t="str">
        <v>●</v>
      </c>
      <c r="I13" s="44" t="str">
        <v/>
      </c>
      <c r="J13" s="44" t="str">
        <v/>
      </c>
      <c r="K13" s="44" t="str">
        <v/>
      </c>
    </row>
    <row r="14" ht="18" customHeight="1">
      <c r="A14" s="35" t="str">
        <v>25</v>
      </c>
      <c r="B14" s="44" t="str">
        <v/>
      </c>
      <c r="C14" s="44" t="str">
        <v/>
      </c>
      <c r="D14" s="44" t="str">
        <v/>
      </c>
      <c r="E14" s="44" t="str">
        <v/>
      </c>
      <c r="F14" s="44" t="str">
        <v/>
      </c>
      <c r="G14" s="44" t="str">
        <v/>
      </c>
      <c r="H14" s="44" t="str">
        <v/>
      </c>
      <c r="I14" s="44" t="str">
        <v/>
      </c>
      <c r="J14" s="44" t="str">
        <v/>
      </c>
      <c r="K14" s="44" t="str">
        <v/>
      </c>
    </row>
    <row r="15" ht="18" customHeight="1">
      <c r="A15" s="35" t="str">
        <v>0</v>
      </c>
      <c r="B15" s="44" t="str">
        <v/>
      </c>
      <c r="C15" s="44" t="str">
        <v/>
      </c>
      <c r="D15" s="44" t="str">
        <v/>
      </c>
      <c r="E15" s="44" t="str">
        <v/>
      </c>
      <c r="F15" s="44" t="str">
        <v/>
      </c>
      <c r="G15" s="44" t="str">
        <v/>
      </c>
      <c r="H15" s="44" t="str">
        <v/>
      </c>
      <c r="I15" s="44" t="str">
        <v/>
      </c>
      <c r="J15" s="44" t="str">
        <v/>
      </c>
      <c r="K15" s="44" t="str">
        <v/>
      </c>
    </row>
    <row r="16" ht="18" customHeight="1">
      <c r="A16" s="18" t="str">
        <v/>
      </c>
      <c r="B16" s="35" t="str">
        <v>0</v>
      </c>
      <c r="C16" s="18" t="str">
        <v/>
      </c>
      <c r="D16" s="18" t="str">
        <v/>
      </c>
      <c r="E16" s="35" t="str">
        <v>25</v>
      </c>
      <c r="F16" s="18" t="str">
        <v/>
      </c>
      <c r="G16" s="35" t="str">
        <v>50</v>
      </c>
      <c r="H16" s="18" t="str">
        <v/>
      </c>
      <c r="I16" s="18" t="str">
        <v/>
      </c>
      <c r="J16" s="35" t="str">
        <v>75</v>
      </c>
      <c r="K16" s="35" t="str">
        <v>100</v>
      </c>
    </row>
    <row r="17" ht="18" customHeight="1">
      <c r="A17" s="18" t="str">
        <v/>
      </c>
      <c r="B17" s="46" t="str">
        <v>COMPLEXITY</v>
      </c>
      <c r="C17" s="18" t="str">
        <v/>
      </c>
      <c r="D17" s="18" t="str">
        <v/>
      </c>
      <c r="E17" s="18" t="str">
        <v/>
      </c>
      <c r="F17" s="18" t="str">
        <v/>
      </c>
      <c r="G17" s="18" t="str">
        <v/>
      </c>
      <c r="H17" s="18" t="str">
        <v/>
      </c>
      <c r="I17" s="18" t="str">
        <v/>
      </c>
      <c r="J17" s="18" t="str">
        <v/>
      </c>
      <c r="K17" s="18" t="str">
        <v/>
      </c>
    </row>
    <row r="18" ht="18" customHeight="1">
      <c r="A18" s="48" t="str">
        <v>Diagonal bands: V–C = Value − complexity penalty. High value can hold a complex project in a top band. Axes 0–100, steps of 25.</v>
      </c>
    </row>
    <row r="19" ht="18" customHeight="1">
      <c r="A19" s="49" t="str">
        <v>This project</v>
      </c>
      <c r="B19" s="50" t="str">
        <v>Value 24/100 · Complexity 60/100 · Mini (V–C 18)</v>
      </c>
    </row>
    <row r="20" ht="18" customHeight="1">
      <c r="A20" s="18" t="str">
        <v/>
      </c>
    </row>
    <row r="21" ht="18" customHeight="1">
      <c r="A21" s="33" t="str">
        <v>SIMM Complexity Zone</v>
      </c>
      <c r="B21" s="33" t="str">
        <v/>
      </c>
      <c r="C21" s="33" t="str">
        <v/>
      </c>
      <c r="D21" s="33" t="str">
        <v/>
      </c>
      <c r="E21" s="33" t="str">
        <v/>
      </c>
      <c r="F21" s="33" t="str">
        <v/>
      </c>
      <c r="G21" s="33" t="str">
        <v/>
      </c>
      <c r="H21" s="33" t="str">
        <v/>
      </c>
      <c r="I21" s="33" t="str">
        <v/>
      </c>
      <c r="J21" s="33" t="str">
        <v/>
      </c>
      <c r="K21" s="33" t="str">
        <v/>
      </c>
    </row>
    <row r="22" ht="18" customHeight="1">
      <c r="A22" s="34" t="str">
        <v>Business complexity (vertical) against Technical complexity (horizontal) — Zone I–IV</v>
      </c>
      <c r="B22" s="34" t="str">
        <v/>
      </c>
      <c r="C22" s="34" t="str">
        <v/>
      </c>
      <c r="D22" s="34" t="str">
        <v/>
      </c>
      <c r="E22" s="34" t="str">
        <v/>
      </c>
      <c r="F22" s="34" t="str">
        <v/>
      </c>
      <c r="G22" s="34" t="str">
        <v/>
      </c>
      <c r="H22" s="34" t="str">
        <v/>
      </c>
      <c r="I22" s="34" t="str">
        <v/>
      </c>
      <c r="J22" s="34" t="str">
        <v/>
      </c>
      <c r="K22" s="34" t="str">
        <v/>
      </c>
    </row>
    <row r="23" ht="18" customHeight="1">
      <c r="A23" s="18" t="str">
        <v/>
      </c>
    </row>
    <row r="24" ht="18" customHeight="1">
      <c r="A24" s="35" t="str">
        <v>4.0</v>
      </c>
      <c r="B24" s="51" t="str">
        <v/>
      </c>
      <c r="C24" s="51" t="str">
        <v/>
      </c>
      <c r="D24" s="52" t="str">
        <v/>
      </c>
      <c r="E24" s="52" t="str">
        <v/>
      </c>
      <c r="F24" s="52" t="str">
        <v/>
      </c>
      <c r="G24" s="52" t="str">
        <v/>
      </c>
      <c r="H24" s="53" t="str">
        <v/>
      </c>
      <c r="I24" s="53" t="str">
        <v/>
      </c>
      <c r="J24" s="54" t="str">
        <v/>
      </c>
      <c r="K24" s="54" t="str">
        <v/>
      </c>
    </row>
    <row r="25" ht="18" customHeight="1">
      <c r="A25" s="18" t="str">
        <v/>
      </c>
      <c r="B25" s="52" t="str">
        <v/>
      </c>
      <c r="C25" s="55" t="str">
        <v>III</v>
      </c>
      <c r="D25" s="52" t="str">
        <v/>
      </c>
      <c r="E25" s="52" t="str">
        <v/>
      </c>
      <c r="F25" s="52" t="str">
        <v/>
      </c>
      <c r="G25" s="52" t="str">
        <v/>
      </c>
      <c r="H25" s="54" t="str">
        <v/>
      </c>
      <c r="I25" s="54" t="str">
        <v/>
      </c>
      <c r="J25" s="56" t="str">
        <v>IV</v>
      </c>
      <c r="K25" s="54" t="str">
        <v/>
      </c>
    </row>
    <row r="26" ht="18" customHeight="1">
      <c r="A26" s="18" t="str">
        <v/>
      </c>
      <c r="B26" s="52" t="str">
        <v/>
      </c>
      <c r="C26" s="52" t="str">
        <v/>
      </c>
      <c r="D26" s="52" t="str">
        <v/>
      </c>
      <c r="E26" s="52" t="str">
        <v/>
      </c>
      <c r="F26" s="52" t="str">
        <v/>
      </c>
      <c r="G26" s="52" t="str">
        <v/>
      </c>
      <c r="H26" s="54" t="str">
        <v/>
      </c>
      <c r="I26" s="54" t="str">
        <v/>
      </c>
      <c r="J26" s="54" t="str">
        <v/>
      </c>
      <c r="K26" s="54" t="str">
        <v/>
      </c>
    </row>
    <row r="27" ht="18" customHeight="1">
      <c r="A27" s="18" t="str">
        <v/>
      </c>
      <c r="B27" s="57" t="str">
        <v/>
      </c>
      <c r="C27" s="57" t="str">
        <v/>
      </c>
      <c r="D27" s="58" t="str">
        <v/>
      </c>
      <c r="E27" s="58" t="str">
        <v/>
      </c>
      <c r="F27" s="58" t="str">
        <v/>
      </c>
      <c r="G27" s="58" t="str">
        <v/>
      </c>
      <c r="H27" s="52" t="str">
        <v/>
      </c>
      <c r="I27" s="52" t="str">
        <v/>
      </c>
      <c r="J27" s="52" t="str">
        <v/>
      </c>
      <c r="K27" s="52" t="str">
        <v/>
      </c>
    </row>
    <row r="28" ht="18" customHeight="1">
      <c r="A28" s="18" t="str">
        <v/>
      </c>
      <c r="B28" s="58" t="str">
        <v/>
      </c>
      <c r="C28" s="58" t="str">
        <v/>
      </c>
      <c r="D28" s="58" t="str">
        <v/>
      </c>
      <c r="E28" s="58" t="str">
        <v/>
      </c>
      <c r="F28" s="58" t="str">
        <v/>
      </c>
      <c r="G28" s="58" t="str">
        <v/>
      </c>
      <c r="H28" s="52" t="str">
        <v/>
      </c>
      <c r="I28" s="52" t="str">
        <v/>
      </c>
      <c r="J28" s="52" t="str">
        <v/>
      </c>
      <c r="K28" s="52" t="str">
        <v/>
      </c>
    </row>
    <row r="29" ht="18" customHeight="1">
      <c r="A29" s="46" t="str">
        <v>BIZ</v>
      </c>
      <c r="B29" s="58" t="str">
        <v/>
      </c>
      <c r="C29" s="58" t="str">
        <v/>
      </c>
      <c r="D29" s="58" t="str">
        <v/>
      </c>
      <c r="E29" s="58" t="str">
        <v/>
      </c>
      <c r="F29" s="58" t="str">
        <v/>
      </c>
      <c r="G29" s="58" t="str">
        <v/>
      </c>
      <c r="H29" s="52" t="str">
        <v/>
      </c>
      <c r="I29" s="47" t="str">
        <v>●</v>
      </c>
      <c r="J29" s="52" t="str">
        <v/>
      </c>
      <c r="K29" s="52" t="str">
        <v/>
      </c>
    </row>
    <row r="30" ht="18" customHeight="1">
      <c r="A30" s="18" t="str">
        <v/>
      </c>
      <c r="B30" s="58" t="str">
        <v/>
      </c>
      <c r="C30" s="58" t="str">
        <v/>
      </c>
      <c r="D30" s="58" t="str">
        <v/>
      </c>
      <c r="E30" s="58" t="str">
        <v/>
      </c>
      <c r="F30" s="58" t="str">
        <v/>
      </c>
      <c r="G30" s="58" t="str">
        <v/>
      </c>
      <c r="H30" s="52" t="str">
        <v/>
      </c>
      <c r="I30" s="52" t="str">
        <v/>
      </c>
      <c r="J30" s="52" t="str">
        <v/>
      </c>
      <c r="K30" s="52" t="str">
        <v/>
      </c>
    </row>
    <row r="31" ht="18" customHeight="1">
      <c r="A31" s="18" t="str">
        <v/>
      </c>
      <c r="B31" s="58" t="str">
        <v/>
      </c>
      <c r="C31" s="58" t="str">
        <v/>
      </c>
      <c r="D31" s="58" t="str">
        <v/>
      </c>
      <c r="E31" s="58" t="str">
        <v/>
      </c>
      <c r="F31" s="58" t="str">
        <v/>
      </c>
      <c r="G31" s="58" t="str">
        <v/>
      </c>
      <c r="H31" s="52" t="str">
        <v/>
      </c>
      <c r="I31" s="52" t="str">
        <v/>
      </c>
      <c r="J31" s="52" t="str">
        <v/>
      </c>
      <c r="K31" s="52" t="str">
        <v/>
      </c>
    </row>
    <row r="32" ht="18" customHeight="1">
      <c r="A32" s="18" t="str">
        <v/>
      </c>
      <c r="B32" s="58" t="str">
        <v/>
      </c>
      <c r="C32" s="59" t="str">
        <v>I</v>
      </c>
      <c r="D32" s="58" t="str">
        <v/>
      </c>
      <c r="E32" s="58" t="str">
        <v/>
      </c>
      <c r="F32" s="58" t="str">
        <v/>
      </c>
      <c r="G32" s="58" t="str">
        <v/>
      </c>
      <c r="H32" s="52" t="str">
        <v/>
      </c>
      <c r="I32" s="52" t="str">
        <v/>
      </c>
      <c r="J32" s="55" t="str">
        <v>II</v>
      </c>
      <c r="K32" s="52" t="str">
        <v/>
      </c>
    </row>
    <row r="33" ht="18" customHeight="1">
      <c r="A33" s="35" t="str">
        <v>0</v>
      </c>
      <c r="B33" s="58" t="str">
        <v/>
      </c>
      <c r="C33" s="58" t="str">
        <v/>
      </c>
      <c r="D33" s="58" t="str">
        <v/>
      </c>
      <c r="E33" s="58" t="str">
        <v/>
      </c>
      <c r="F33" s="58" t="str">
        <v/>
      </c>
      <c r="G33" s="58" t="str">
        <v/>
      </c>
      <c r="H33" s="52" t="str">
        <v/>
      </c>
      <c r="I33" s="52" t="str">
        <v/>
      </c>
      <c r="J33" s="52" t="str">
        <v/>
      </c>
      <c r="K33" s="52" t="str">
        <v/>
      </c>
    </row>
    <row r="34" ht="18" customHeight="1">
      <c r="A34" s="18" t="str">
        <v/>
      </c>
      <c r="B34" s="35" t="str">
        <v>0</v>
      </c>
      <c r="C34" s="18" t="str">
        <v/>
      </c>
      <c r="D34" s="18" t="str">
        <v/>
      </c>
      <c r="E34" s="18" t="str">
        <v/>
      </c>
      <c r="F34" s="18" t="str">
        <v/>
      </c>
      <c r="G34" s="18" t="str">
        <v/>
      </c>
      <c r="H34" s="18" t="str">
        <v/>
      </c>
      <c r="I34" s="18" t="str">
        <v/>
      </c>
      <c r="J34" s="18" t="str">
        <v/>
      </c>
      <c r="K34" s="35" t="str">
        <v>4.0</v>
      </c>
    </row>
    <row r="35" ht="18" customHeight="1">
      <c r="A35" s="18" t="str">
        <v/>
      </c>
      <c r="B35" s="46" t="str">
        <v>TECHNICAL</v>
      </c>
      <c r="C35" s="18" t="str">
        <v/>
      </c>
      <c r="D35" s="18" t="str">
        <v/>
      </c>
      <c r="E35" s="18" t="str">
        <v/>
      </c>
      <c r="F35" s="18" t="str">
        <v/>
      </c>
      <c r="G35" s="18" t="str">
        <v/>
      </c>
      <c r="H35" s="18" t="str">
        <v/>
      </c>
      <c r="I35" s="18" t="str">
        <v/>
      </c>
      <c r="J35" s="18" t="str">
        <v/>
      </c>
      <c r="K35" s="18" t="str">
        <v/>
      </c>
    </row>
    <row r="36" ht="18" customHeight="1">
      <c r="A36" s="18" t="str">
        <v/>
      </c>
    </row>
    <row r="37" ht="18" customHeight="1">
      <c r="A37" s="49" t="str">
        <v>This project</v>
      </c>
      <c r="B37" s="50" t="str">
        <v>Business 1.9/4 · Technical 2.9/4 · Zone II (Medium criticality)</v>
      </c>
    </row>
    <row r="38" ht="18" customHeight="1">
      <c r="A38" s="12" t="str">
        <v>EDD · ESPMO Project Profiler   ·   Licenses for GitHub Copilot Pilot   ·   Sheet 5 of 8   ·   Generated Jul 6, 2026</v>
      </c>
      <c r="B38" s="12" t="str">
        <v/>
      </c>
      <c r="C38" s="12" t="str">
        <v/>
      </c>
      <c r="D38" s="12" t="str">
        <v/>
      </c>
      <c r="E38" s="12" t="str">
        <v/>
      </c>
      <c r="F38" s="12" t="str">
        <v/>
      </c>
      <c r="G38" s="12" t="str">
        <v/>
      </c>
      <c r="H38" s="12" t="str">
        <v/>
      </c>
      <c r="I38" s="12" t="str">
        <v/>
      </c>
      <c r="J38" s="12" t="str">
        <v/>
      </c>
      <c r="K38" s="12" t="str">
        <v/>
      </c>
    </row>
  </sheetData>
  <mergeCells count="11">
    <mergeCell ref="A38:K38"/>
    <mergeCell ref="A1:K1"/>
    <mergeCell ref="A3:K3"/>
    <mergeCell ref="A4:K4"/>
    <mergeCell ref="A21:K21"/>
    <mergeCell ref="A22:K22"/>
    <mergeCell ref="E8:G8"/>
    <mergeCell ref="F10:H10"/>
    <mergeCell ref="E13:G13"/>
    <mergeCell ref="B17:K17"/>
    <mergeCell ref="B35:K35"/>
  </mergeCells>
  <pageMargins left="0.3" right="0.3" top="0.4" bottom="0.4" header="0.2" footer="0.2"/>
  <ignoredErrors>
    <ignoredError numberStoredAsText="1" sqref="A1:K38"/>
  </ignoredErrors>
</worksheet>
</file>

<file path=xl/worksheets/sheet6.xml><?xml version="1.0" encoding="utf-8"?>
<worksheet xmlns="http://schemas.openxmlformats.org/spreadsheetml/2006/main" xmlns:r="http://schemas.openxmlformats.org/officeDocument/2006/relationships">
  <dimension ref="A1:H37"/>
  <sheetViews>
    <sheetView workbookViewId="0"/>
  </sheetViews>
  <cols>
    <col min="1" max="1" width="7.83203125" customWidth="1"/>
    <col min="2" max="2" width="5.83203125" customWidth="1"/>
    <col min="3" max="3" width="7.83203125" customWidth="1"/>
    <col min="4" max="4" width="22.83203125" customWidth="1"/>
    <col min="5" max="5" width="11.83203125" customWidth="1"/>
    <col min="6" max="6" width="11.83203125" customWidth="1"/>
    <col min="7" max="7" width="12.83203125" customWidth="1"/>
    <col min="8" max="8" width="15.83203125" customWidth="1"/>
  </cols>
  <sheetData>
    <row r="1" ht="18" customHeight="1">
      <c r="A1" s="34" t="str">
        <v>Engagement Matrix — who does what on each deliverable this project triggered (EDD PM RACI)</v>
      </c>
      <c r="B1" s="60" t="str">
        <v/>
      </c>
      <c r="C1" s="60" t="str">
        <v/>
      </c>
      <c r="D1" s="60" t="str">
        <v/>
      </c>
      <c r="E1" s="60" t="str">
        <v/>
      </c>
      <c r="F1" s="60" t="str">
        <v/>
      </c>
      <c r="G1" s="60" t="str">
        <v/>
      </c>
      <c r="H1" s="60" t="str">
        <v/>
      </c>
    </row>
    <row r="2" ht="22" customHeight="1">
      <c r="A2" s="61" t="str">
        <v>Only deliverables triggered by this project’s answers are shown.   Assist = who from governance helps prepare &amp; coordinate (PMO or TARC).   L = Lead (drives it)  ·  C = Contribute (does work / input)  ·  R = Review  ·  I = Informed</v>
      </c>
      <c r="B2" s="2" t="str">
        <v/>
      </c>
      <c r="C2" s="2" t="str">
        <v/>
      </c>
      <c r="D2" s="2" t="str">
        <v/>
      </c>
      <c r="E2" s="2" t="str">
        <v/>
      </c>
      <c r="F2" s="2" t="str">
        <v/>
      </c>
      <c r="G2" s="2" t="str">
        <v/>
      </c>
      <c r="H2" s="2" t="str">
        <v/>
      </c>
    </row>
    <row r="3" ht="14" customHeight="1">
      <c r="A3" s="62" t="str">
        <v>Assist</v>
      </c>
      <c r="B3" s="62" t="str">
        <v>ID</v>
      </c>
      <c r="C3" s="63" t="str">
        <v>Phase</v>
      </c>
      <c r="D3" s="63" t="str">
        <v>Deliverable / Task</v>
      </c>
      <c r="E3" s="64" t="str">
        <v>Lead (L)</v>
      </c>
      <c r="F3" s="65" t="str">
        <v>Contribute (C)</v>
      </c>
      <c r="G3" s="66" t="str">
        <v>Review / Informed (R / I)</v>
      </c>
      <c r="H3" s="67" t="str">
        <v>Related Question</v>
      </c>
    </row>
    <row r="4" ht="16" customHeight="1">
      <c r="A4" s="3" t="str">
        <v>PMO assists / advises  ·  15 deliverables</v>
      </c>
      <c r="B4" s="60" t="str">
        <v/>
      </c>
      <c r="C4" s="60" t="str">
        <v/>
      </c>
      <c r="D4" s="60" t="str">
        <v/>
      </c>
      <c r="E4" s="60" t="str">
        <v/>
      </c>
      <c r="F4" s="60" t="str">
        <v/>
      </c>
      <c r="G4" s="60" t="str">
        <v/>
      </c>
      <c r="H4" s="60" t="str">
        <v/>
      </c>
    </row>
    <row r="5" ht="24" customHeight="1">
      <c r="A5" s="68" t="str">
        <v>PMO</v>
      </c>
      <c r="B5" s="69" t="str">
        <v>CON-01</v>
      </c>
      <c r="C5" s="70" t="str">
        <v>Concept</v>
      </c>
      <c r="D5" s="70" t="str">
        <v>Create Request for Change Proposal</v>
      </c>
      <c r="E5" s="71" t="str">
        <v>Sponsor</v>
      </c>
      <c r="F5" s="72" t="str">
        <v/>
      </c>
      <c r="G5" s="73" t="str">
        <v>I: IT Spon, Sys Own, Trans, CSD Sec, EA, Dev Ld, ETO, Intake, Ovrst, Procmt, Contr, Dev</v>
      </c>
      <c r="H5" s="74" t="str">
        <v>All projects</v>
      </c>
    </row>
    <row r="6" ht="24" customHeight="1">
      <c r="A6" s="68" t="str">
        <v>PMO</v>
      </c>
      <c r="B6" s="75" t="str">
        <v>INI-01</v>
      </c>
      <c r="C6" s="76" t="str">
        <v>Initiate</v>
      </c>
      <c r="D6" s="76" t="str">
        <v>Create Project Charter</v>
      </c>
      <c r="E6" s="77" t="str">
        <v>PM</v>
      </c>
      <c r="F6" s="78" t="str">
        <v>CSD Sec, EA, Dev Ld, ETO, Dev</v>
      </c>
      <c r="G6" s="79" t="str">
        <v/>
      </c>
      <c r="H6" s="80" t="str">
        <v>All projects</v>
      </c>
    </row>
    <row r="7" ht="24" customHeight="1">
      <c r="A7" s="81" t="str">
        <v>PMO</v>
      </c>
      <c r="B7" s="69" t="str">
        <v>INI-03</v>
      </c>
      <c r="C7" s="70" t="str">
        <v>Initiate</v>
      </c>
      <c r="D7" s="70" t="str">
        <v>Create Stakeholder Register</v>
      </c>
      <c r="E7" s="71" t="str">
        <v>PM</v>
      </c>
      <c r="F7" s="72" t="str">
        <v>EA</v>
      </c>
      <c r="G7" s="73" t="str">
        <v/>
      </c>
      <c r="H7" s="74" t="str">
        <v>All projects</v>
      </c>
    </row>
    <row r="8" ht="24" customHeight="1">
      <c r="A8" s="81" t="str">
        <v>PMO</v>
      </c>
      <c r="B8" s="75" t="str">
        <v>INI-05</v>
      </c>
      <c r="C8" s="82" t="str">
        <v>Initiate</v>
      </c>
      <c r="D8" s="82" t="str">
        <v>CRAID Log</v>
      </c>
      <c r="E8" s="77" t="str">
        <v>PM</v>
      </c>
      <c r="F8" s="78" t="str">
        <v>Sys Own, BA</v>
      </c>
      <c r="G8" s="79" t="str">
        <v>I: Sponsor, IT Spon, Steer, BizOwn</v>
      </c>
      <c r="H8" s="80" t="str">
        <v>All projects</v>
      </c>
    </row>
    <row r="9" ht="24" customHeight="1">
      <c r="A9" s="81" t="str">
        <v>PMO</v>
      </c>
      <c r="B9" s="69" t="str">
        <v>INI-08</v>
      </c>
      <c r="C9" s="70" t="str">
        <v>Initiate</v>
      </c>
      <c r="D9" s="70" t="str">
        <v>Release Readiness Review (RRR) Checklist</v>
      </c>
      <c r="E9" s="71" t="str">
        <v>PM</v>
      </c>
      <c r="F9" s="72" t="str">
        <v/>
      </c>
      <c r="G9" s="73" t="str">
        <v>I: Dev Ld</v>
      </c>
      <c r="H9" s="74" t="str">
        <v>Q13</v>
      </c>
    </row>
    <row r="10" ht="24" customHeight="1">
      <c r="A10" s="81" t="str">
        <v>PMO</v>
      </c>
      <c r="B10" s="83" t="str">
        <v>PLN-04</v>
      </c>
      <c r="C10" s="82" t="str">
        <v>Plan</v>
      </c>
      <c r="D10" s="82" t="str">
        <v>Requirements Documentation</v>
      </c>
      <c r="E10" s="84" t="str">
        <v>BA</v>
      </c>
      <c r="F10" s="85" t="str">
        <v>PM, Sys Own, EA, CA Agcy</v>
      </c>
      <c r="G10" s="86" t="str">
        <v/>
      </c>
      <c r="H10" s="87" t="str">
        <v>Q1 (predictive)</v>
      </c>
    </row>
    <row r="11" ht="24" customHeight="1">
      <c r="A11" s="81" t="str">
        <v>PMO</v>
      </c>
      <c r="B11" s="69" t="str">
        <v>PLN-05</v>
      </c>
      <c r="C11" s="70" t="str">
        <v>Plan</v>
      </c>
      <c r="D11" s="70" t="str">
        <v>Requirements Traceability Matrix (RTM)</v>
      </c>
      <c r="E11" s="71" t="str">
        <v>Dev Ld</v>
      </c>
      <c r="F11" s="72" t="str">
        <v>PM, ETO, BA</v>
      </c>
      <c r="G11" s="73" t="str">
        <v>I: BizOwn</v>
      </c>
      <c r="H11" s="74" t="str">
        <v>Q1 (predictive)</v>
      </c>
    </row>
    <row r="12" ht="24" customHeight="1">
      <c r="A12" s="81" t="str">
        <v>PMO</v>
      </c>
      <c r="B12" s="83" t="str">
        <v>PLN-06</v>
      </c>
      <c r="C12" s="82" t="str">
        <v>Plan</v>
      </c>
      <c r="D12" s="82" t="str">
        <v>Test Plan &amp; Test Cases</v>
      </c>
      <c r="E12" s="84" t="str">
        <v>ETO</v>
      </c>
      <c r="F12" s="85" t="str">
        <v>PM, Sys Own, Dev Ld, BA, BizOwn</v>
      </c>
      <c r="G12" s="86" t="str">
        <v/>
      </c>
      <c r="H12" s="87" t="str">
        <v>Q1 (predictive)</v>
      </c>
    </row>
    <row r="13" ht="24" customHeight="1">
      <c r="A13" s="81" t="str">
        <v>PMO</v>
      </c>
      <c r="B13" s="69" t="str">
        <v>PLN-10</v>
      </c>
      <c r="C13" s="70" t="str">
        <v>Plan</v>
      </c>
      <c r="D13" s="70" t="str">
        <v>Training Plan &amp; Materials</v>
      </c>
      <c r="E13" s="71" t="str">
        <v>OrgChg</v>
      </c>
      <c r="F13" s="72" t="str">
        <v>PM, Sys Own, Trans, BA, BizOwn</v>
      </c>
      <c r="G13" s="73" t="str">
        <v/>
      </c>
      <c r="H13" s="74" t="str">
        <v>Q1 (predictive)</v>
      </c>
    </row>
    <row r="14" ht="24" customHeight="1">
      <c r="A14" s="81" t="str">
        <v>PMO</v>
      </c>
      <c r="B14" s="83" t="str">
        <v>PLN-11</v>
      </c>
      <c r="C14" s="82" t="str">
        <v>Plan</v>
      </c>
      <c r="D14" s="82" t="str">
        <v>Create Transition Plan</v>
      </c>
      <c r="E14" s="84" t="str">
        <v>PM</v>
      </c>
      <c r="F14" s="85" t="str">
        <v/>
      </c>
      <c r="G14" s="86" t="str">
        <v>I: EA</v>
      </c>
      <c r="H14" s="87" t="str">
        <v>Q1 (predictive)</v>
      </c>
    </row>
    <row r="15" ht="24" customHeight="1">
      <c r="A15" s="81" t="str">
        <v>PMO</v>
      </c>
      <c r="B15" s="69" t="str">
        <v>EXE-14</v>
      </c>
      <c r="C15" s="70" t="str">
        <v>Execute</v>
      </c>
      <c r="D15" s="70" t="str">
        <v>User Acceptance Testing (UAT)</v>
      </c>
      <c r="E15" s="71" t="str">
        <v>ETO</v>
      </c>
      <c r="F15" s="72" t="str">
        <v>PM, Sys Own, Dev Ld, BA</v>
      </c>
      <c r="G15" s="73" t="str">
        <v/>
      </c>
      <c r="H15" s="74" t="str">
        <v>Q1 (predictive)</v>
      </c>
    </row>
    <row r="16" ht="24" customHeight="1">
      <c r="A16" s="81" t="str">
        <v>PMO</v>
      </c>
      <c r="B16" s="83" t="str">
        <v>EXE-17</v>
      </c>
      <c r="C16" s="82" t="str">
        <v>Execute</v>
      </c>
      <c r="D16" s="82" t="str">
        <v>Completes Lines of Business (LOB )Release Readiness Review (RRR) checklist prior to RRB meeting</v>
      </c>
      <c r="E16" s="84" t="str">
        <v>PM</v>
      </c>
      <c r="F16" s="85" t="str">
        <v/>
      </c>
      <c r="G16" s="86" t="str">
        <v>I: EA</v>
      </c>
      <c r="H16" s="87" t="str">
        <v>Q13</v>
      </c>
    </row>
    <row r="17" ht="24" customHeight="1">
      <c r="A17" s="81" t="str">
        <v>PMO</v>
      </c>
      <c r="B17" s="69" t="str">
        <v>EXE-20</v>
      </c>
      <c r="C17" s="70" t="str">
        <v>Execute</v>
      </c>
      <c r="D17" s="70" t="str">
        <v>Create Status Reporting</v>
      </c>
      <c r="E17" s="71" t="str">
        <v>PM</v>
      </c>
      <c r="F17" s="72" t="str">
        <v/>
      </c>
      <c r="G17" s="73" t="str">
        <v>I: EA</v>
      </c>
      <c r="H17" s="74" t="str">
        <v>All projects</v>
      </c>
    </row>
    <row r="18" ht="24" customHeight="1">
      <c r="A18" s="81" t="str">
        <v>PMO</v>
      </c>
      <c r="B18" s="83" t="str">
        <v>CLS-01</v>
      </c>
      <c r="C18" s="82" t="str">
        <v>Close</v>
      </c>
      <c r="D18" s="82" t="str">
        <v>Create Lessons Learned</v>
      </c>
      <c r="E18" s="84" t="str">
        <v>PM</v>
      </c>
      <c r="F18" s="85" t="str">
        <v>EA</v>
      </c>
      <c r="G18" s="86" t="str">
        <v/>
      </c>
      <c r="H18" s="87" t="str">
        <v>All projects</v>
      </c>
    </row>
    <row r="19" ht="24" customHeight="1">
      <c r="A19" s="81" t="str">
        <v>PMO</v>
      </c>
      <c r="B19" s="69" t="str">
        <v>CLS-02</v>
      </c>
      <c r="C19" s="70" t="str">
        <v>Close</v>
      </c>
      <c r="D19" s="70" t="str">
        <v>Create Closeout Report</v>
      </c>
      <c r="E19" s="71" t="str">
        <v>PM</v>
      </c>
      <c r="F19" s="72" t="str">
        <v>EA</v>
      </c>
      <c r="G19" s="73" t="str">
        <v/>
      </c>
      <c r="H19" s="74" t="str">
        <v>All projects</v>
      </c>
    </row>
    <row r="20" ht="16" customHeight="1">
      <c r="A20" s="88" t="str">
        <v>TARC assists / advises  ·  17 deliverables</v>
      </c>
      <c r="B20" s="89" t="str">
        <v/>
      </c>
      <c r="C20" s="89" t="str">
        <v/>
      </c>
      <c r="D20" s="89" t="str">
        <v/>
      </c>
      <c r="E20" s="89" t="str">
        <v/>
      </c>
      <c r="F20" s="89" t="str">
        <v/>
      </c>
      <c r="G20" s="89" t="str">
        <v/>
      </c>
      <c r="H20" s="89" t="str">
        <v/>
      </c>
    </row>
    <row r="21" ht="24" customHeight="1">
      <c r="A21" s="90" t="str">
        <v>TARC</v>
      </c>
      <c r="B21" s="69" t="str">
        <v>INI-06</v>
      </c>
      <c r="C21" s="70" t="str">
        <v>Initiate</v>
      </c>
      <c r="D21" s="70" t="str">
        <v>Security Checklist (refer to CSD Cybersecurity Standards in the interim)</v>
      </c>
      <c r="E21" s="71" t="str">
        <v>Sys Own</v>
      </c>
      <c r="F21" s="72" t="str">
        <v>CSD Sec, EA, ETO</v>
      </c>
      <c r="G21" s="73" t="str">
        <v/>
      </c>
      <c r="H21" s="74" t="str">
        <v>Q28</v>
      </c>
    </row>
    <row r="22" ht="24" customHeight="1">
      <c r="A22" s="90" t="str">
        <v>TARC</v>
      </c>
      <c r="B22" s="83" t="str">
        <v>INI-07</v>
      </c>
      <c r="C22" s="82" t="str">
        <v>Initiate</v>
      </c>
      <c r="D22" s="82" t="str">
        <v>Enterprise Architecture Engagement Plan</v>
      </c>
      <c r="E22" s="84" t="str">
        <v>Sys Own</v>
      </c>
      <c r="F22" s="85" t="str">
        <v>CSD Sec, EA, ETO</v>
      </c>
      <c r="G22" s="86" t="str">
        <v/>
      </c>
      <c r="H22" s="87" t="str">
        <v>All projects</v>
      </c>
    </row>
    <row r="23" ht="24" customHeight="1">
      <c r="A23" s="91" t="str">
        <v>TARC</v>
      </c>
      <c r="B23" s="69" t="str">
        <v>PLN-07</v>
      </c>
      <c r="C23" s="70" t="str">
        <v>Plan</v>
      </c>
      <c r="D23" s="70" t="str">
        <v>Create EA-Level Architecture Models and Diagrams</v>
      </c>
      <c r="E23" s="71" t="str">
        <v>EA</v>
      </c>
      <c r="F23" s="72" t="str">
        <v/>
      </c>
      <c r="G23" s="73" t="str">
        <v>I: CSD Sec, Dev Ld, ETO</v>
      </c>
      <c r="H23" s="74" t="str">
        <v>Q29</v>
      </c>
    </row>
    <row r="24" ht="24" customHeight="1">
      <c r="A24" s="91" t="str">
        <v>TARC</v>
      </c>
      <c r="B24" s="83" t="str">
        <v>PLN-08</v>
      </c>
      <c r="C24" s="82" t="str">
        <v>Plan</v>
      </c>
      <c r="D24" s="82" t="str">
        <v>Implementation Plan</v>
      </c>
      <c r="E24" s="84" t="str">
        <v>Dev Ld</v>
      </c>
      <c r="F24" s="85" t="str">
        <v>Sys Own, Trans, ETO, OrgChg, BizOwn</v>
      </c>
      <c r="G24" s="86" t="str">
        <v/>
      </c>
      <c r="H24" s="87" t="str">
        <v>Q13</v>
      </c>
    </row>
    <row r="25" ht="24" customHeight="1">
      <c r="A25" s="91" t="str">
        <v>TARC</v>
      </c>
      <c r="B25" s="69" t="str">
        <v>PLN-09</v>
      </c>
      <c r="C25" s="70" t="str">
        <v>Plan</v>
      </c>
      <c r="D25" s="70" t="str">
        <v>Rollback Plan</v>
      </c>
      <c r="E25" s="71" t="str">
        <v>Dev Ld</v>
      </c>
      <c r="F25" s="72" t="str">
        <v>PM, Trans, CSD Sec, ETO, Chg/Rel</v>
      </c>
      <c r="G25" s="73" t="str">
        <v/>
      </c>
      <c r="H25" s="74" t="str">
        <v>Q13</v>
      </c>
    </row>
    <row r="26" ht="24" customHeight="1">
      <c r="A26" s="91" t="str">
        <v>TARC</v>
      </c>
      <c r="B26" s="83" t="str">
        <v>EXE-05</v>
      </c>
      <c r="C26" s="82" t="str">
        <v>Execute</v>
      </c>
      <c r="D26" s="82" t="str">
        <v>Facilitate Cloud Review</v>
      </c>
      <c r="E26" s="84" t="str">
        <v>Dev Ld</v>
      </c>
      <c r="F26" s="85" t="str">
        <v>EA, CloudArch</v>
      </c>
      <c r="G26" s="86" t="str">
        <v/>
      </c>
      <c r="H26" s="87" t="str">
        <v>Q29</v>
      </c>
    </row>
    <row r="27" ht="24" customHeight="1">
      <c r="A27" s="91" t="str">
        <v>TARC</v>
      </c>
      <c r="B27" s="69" t="str">
        <v>EXE-06</v>
      </c>
      <c r="C27" s="70" t="str">
        <v>Execute</v>
      </c>
      <c r="D27" s="70" t="str">
        <v>Facilitate TARC Preparation</v>
      </c>
      <c r="E27" s="71" t="str">
        <v>Dev Ld</v>
      </c>
      <c r="F27" s="72" t="str">
        <v>EA, TRT</v>
      </c>
      <c r="G27" s="73" t="str">
        <v/>
      </c>
      <c r="H27" s="74" t="str">
        <v>Q29</v>
      </c>
    </row>
    <row r="28" ht="24" customHeight="1">
      <c r="A28" s="91" t="str">
        <v>TARC</v>
      </c>
      <c r="B28" s="83" t="str">
        <v>EXE-07</v>
      </c>
      <c r="C28" s="82" t="str">
        <v>Execute</v>
      </c>
      <c r="D28" s="82" t="str">
        <v>Solution Architecture Document (SAD)</v>
      </c>
      <c r="E28" s="84" t="str">
        <v>EA</v>
      </c>
      <c r="F28" s="85" t="str">
        <v>CSD Sec, Dev Ld, CloudArch, TARC</v>
      </c>
      <c r="G28" s="86" t="str">
        <v>I: PM</v>
      </c>
      <c r="H28" s="87" t="str">
        <v>Q29</v>
      </c>
    </row>
    <row r="29" ht="24" customHeight="1">
      <c r="A29" s="91" t="str">
        <v>TARC</v>
      </c>
      <c r="B29" s="69" t="str">
        <v>EXE-09</v>
      </c>
      <c r="C29" s="70" t="str">
        <v>Execute</v>
      </c>
      <c r="D29" s="70" t="str">
        <v>Information System Recovery Plan (ISRP)</v>
      </c>
      <c r="E29" s="71" t="str">
        <v>Dev Ld</v>
      </c>
      <c r="F29" s="72" t="str">
        <v>PM, BizOwn</v>
      </c>
      <c r="G29" s="73" t="str">
        <v/>
      </c>
      <c r="H29" s="74" t="str">
        <v>Q28</v>
      </c>
    </row>
    <row r="30" ht="24" customHeight="1">
      <c r="A30" s="91" t="str">
        <v>TARC</v>
      </c>
      <c r="B30" s="83" t="str">
        <v>EXE-10</v>
      </c>
      <c r="C30" s="82" t="str">
        <v>Execute</v>
      </c>
      <c r="D30" s="82" t="str">
        <v>Security Audit Logging Kick-Off (SIEM)</v>
      </c>
      <c r="E30" s="84" t="str">
        <v>CSD Sec</v>
      </c>
      <c r="F30" s="85" t="str">
        <v/>
      </c>
      <c r="G30" s="86" t="str">
        <v>I: Chg/Rel</v>
      </c>
      <c r="H30" s="87" t="str">
        <v>Q28</v>
      </c>
    </row>
    <row r="31" ht="24" customHeight="1">
      <c r="A31" s="91" t="str">
        <v>TARC</v>
      </c>
      <c r="B31" s="69" t="str">
        <v>EXE-11</v>
      </c>
      <c r="C31" s="70" t="str">
        <v>Execute</v>
      </c>
      <c r="D31" s="70" t="str">
        <v>Vulnerability Assessment Kick-Off (Nessus / Veracode / Prisma Cloud)</v>
      </c>
      <c r="E31" s="71" t="str">
        <v>PM</v>
      </c>
      <c r="F31" s="72" t="str">
        <v>CSD Sec, Dev Ld, CloudArch</v>
      </c>
      <c r="G31" s="73" t="str">
        <v/>
      </c>
      <c r="H31" s="74" t="str">
        <v>Q28</v>
      </c>
    </row>
    <row r="32" ht="24" customHeight="1">
      <c r="A32" s="91" t="str">
        <v>TARC</v>
      </c>
      <c r="B32" s="83" t="str">
        <v>EXE-12</v>
      </c>
      <c r="C32" s="82" t="str">
        <v>Execute</v>
      </c>
      <c r="D32" s="82" t="str">
        <v>System Testing — Vulnerability &amp; Security Scans</v>
      </c>
      <c r="E32" s="84" t="str">
        <v>ETO</v>
      </c>
      <c r="F32" s="85" t="str">
        <v>CSD Sec, Dev Ld</v>
      </c>
      <c r="G32" s="86" t="str">
        <v>I: PM</v>
      </c>
      <c r="H32" s="87" t="str">
        <v>Q28</v>
      </c>
    </row>
    <row r="33" ht="24" customHeight="1">
      <c r="A33" s="91" t="str">
        <v>TARC</v>
      </c>
      <c r="B33" s="69" t="str">
        <v>EXE-13</v>
      </c>
      <c r="C33" s="70" t="str">
        <v>Execute</v>
      </c>
      <c r="D33" s="70" t="str">
        <v>Application Security Assessment — Penetration Testing</v>
      </c>
      <c r="E33" s="71" t="str">
        <v>CSD Sec</v>
      </c>
      <c r="F33" s="72" t="str">
        <v>ETO</v>
      </c>
      <c r="G33" s="73" t="str">
        <v>I: PM</v>
      </c>
      <c r="H33" s="74" t="str">
        <v>Q28</v>
      </c>
    </row>
    <row r="34" ht="24" customHeight="1">
      <c r="A34" s="91" t="str">
        <v>TARC</v>
      </c>
      <c r="B34" s="83" t="str">
        <v>EXE-15</v>
      </c>
      <c r="C34" s="82" t="str">
        <v>Execute</v>
      </c>
      <c r="D34" s="82" t="str">
        <v>Schedule and presents RFC for RRB review</v>
      </c>
      <c r="E34" s="84" t="str">
        <v>Dev Ld</v>
      </c>
      <c r="F34" s="85" t="str">
        <v/>
      </c>
      <c r="G34" s="86" t="str">
        <v>R: RRB  ·  I: EA</v>
      </c>
      <c r="H34" s="87" t="str">
        <v>Q13</v>
      </c>
    </row>
    <row r="35" ht="24" customHeight="1">
      <c r="A35" s="91" t="str">
        <v>TARC</v>
      </c>
      <c r="B35" s="69" t="str">
        <v>EXE-16</v>
      </c>
      <c r="C35" s="70" t="str">
        <v>Execute</v>
      </c>
      <c r="D35" s="70" t="str">
        <v>Security Certification &amp; Accreditation (C&amp;A) Package</v>
      </c>
      <c r="E35" s="71" t="str">
        <v>Sys Own</v>
      </c>
      <c r="F35" s="72" t="str">
        <v>CSD Sec</v>
      </c>
      <c r="G35" s="73" t="str">
        <v>I: Sponsor, PM, CloudArch</v>
      </c>
      <c r="H35" s="74" t="str">
        <v>Q28</v>
      </c>
    </row>
    <row r="36" ht="24" customHeight="1">
      <c r="A36" s="91" t="str">
        <v>TARC</v>
      </c>
      <c r="B36" s="83" t="str">
        <v>EXE-18</v>
      </c>
      <c r="C36" s="82" t="str">
        <v>Execute</v>
      </c>
      <c r="D36" s="82" t="str">
        <v>Production Stabilization &amp; Hypercare Period</v>
      </c>
      <c r="E36" s="84" t="str">
        <v>Dev Ld</v>
      </c>
      <c r="F36" s="85" t="str">
        <v>Trans, CSD Sec, Chg/Rel</v>
      </c>
      <c r="G36" s="86" t="str">
        <v>I: Steer, Core, OrgChg, BizOwn</v>
      </c>
      <c r="H36" s="87" t="str">
        <v>Q13</v>
      </c>
    </row>
    <row r="37" ht="24" customHeight="1">
      <c r="A37" s="91" t="str">
        <v>TARC</v>
      </c>
      <c r="B37" s="69" t="str">
        <v>CLS-03</v>
      </c>
      <c r="C37" s="70" t="str">
        <v>Close</v>
      </c>
      <c r="D37" s="70" t="str">
        <v xml:space="preserve"> Update EA Repository</v>
      </c>
      <c r="E37" s="71" t="str">
        <v>EA</v>
      </c>
      <c r="F37" s="72" t="str">
        <v>PM, Dev Ld, Chg/Rel</v>
      </c>
      <c r="G37" s="73" t="str">
        <v/>
      </c>
      <c r="H37" s="74" t="str">
        <v>All projects</v>
      </c>
    </row>
  </sheetData>
  <mergeCells count="4">
    <mergeCell ref="A1:H1"/>
    <mergeCell ref="A2:H2"/>
    <mergeCell ref="A4:H4"/>
    <mergeCell ref="A20:H20"/>
  </mergeCells>
  <pageMargins left="0.3" right="0.3" top="0.4" bottom="0.4" header="0.2" footer="0.2"/>
  <ignoredErrors>
    <ignoredError numberStoredAsText="1" sqref="A1:H37"/>
  </ignoredErrors>
</worksheet>
</file>

<file path=xl/worksheets/sheet7.xml><?xml version="1.0" encoding="utf-8"?>
<worksheet xmlns="http://schemas.openxmlformats.org/spreadsheetml/2006/main" xmlns:r="http://schemas.openxmlformats.org/officeDocument/2006/relationships">
  <dimension ref="A1:B48"/>
  <sheetViews>
    <sheetView workbookViewId="0"/>
  </sheetViews>
  <cols>
    <col min="1" max="1" width="22.83203125" customWidth="1"/>
    <col min="2" max="2" width="72.83203125" customWidth="1"/>
  </cols>
  <sheetData>
    <row r="1" ht="18" customHeight="1">
      <c r="A1" s="13" t="str">
        <v>EDD · ESPMO — Licenses for GitHub Copilot Pilot — GLOSSARY</v>
      </c>
      <c r="B1" s="13" t="str">
        <v/>
      </c>
    </row>
    <row r="2" ht="16" customHeight="1">
      <c r="A2" s="92" t="str">
        <v>Acronym / Term</v>
      </c>
      <c r="B2" s="92" t="str">
        <v>Meaning</v>
      </c>
    </row>
    <row r="3" ht="15" customHeight="1">
      <c r="A3" s="93" t="str">
        <v>BIA</v>
      </c>
      <c r="B3" s="94" t="str">
        <v>Business Impact Analysis</v>
      </c>
    </row>
    <row r="4" ht="34.5" customHeight="1">
      <c r="A4" s="95" t="str">
        <v>C &amp; A</v>
      </c>
      <c r="B4" s="96" t="str">
        <v>Certification &amp; Accreditation - C&amp;A is part of the security lifecycle for new systems, system changes, or major deployments. It’s closely connected with: Information Security Office (ISO) requirements and risk assessments</v>
      </c>
    </row>
    <row r="5" ht="23" customHeight="1">
      <c r="A5" s="93" t="str">
        <v>CA-PMF</v>
      </c>
      <c r="B5" s="94" t="str">
        <v>California Project Management Framework templates from the California Project Management  Office (CA-PMO)</v>
      </c>
    </row>
    <row r="6" ht="15" customHeight="1">
      <c r="A6" s="95" t="str">
        <v>CDRG</v>
      </c>
      <c r="B6" s="96" t="str">
        <v>Cyber Defense and Response Group</v>
      </c>
    </row>
    <row r="7" ht="15" customHeight="1">
      <c r="A7" s="93" t="str">
        <v>CLS</v>
      </c>
      <c r="B7" s="94" t="str">
        <v>Closing phase</v>
      </c>
    </row>
    <row r="8" ht="15" customHeight="1">
      <c r="A8" s="97" t="str">
        <v>CON</v>
      </c>
      <c r="B8" s="98" t="str">
        <v>Concept phase</v>
      </c>
    </row>
    <row r="9" ht="15" customHeight="1">
      <c r="A9" s="93" t="str">
        <v>CRAID</v>
      </c>
      <c r="B9" s="94" t="str">
        <v>Challenges, risks, actions, issues, dependencies</v>
      </c>
    </row>
    <row r="10" ht="15" customHeight="1">
      <c r="A10" s="97" t="str">
        <v>EA</v>
      </c>
      <c r="B10" s="98" t="str">
        <v>Enterprise Architecture</v>
      </c>
    </row>
    <row r="11" ht="15" customHeight="1">
      <c r="A11" s="93" t="str">
        <v>EDD</v>
      </c>
      <c r="B11" s="94" t="str">
        <v>Employment Development Department, Every Day is Different</v>
      </c>
    </row>
    <row r="12" ht="15" customHeight="1">
      <c r="A12" s="97" t="str">
        <v>Engagement Matrix</v>
      </c>
      <c r="B12" s="98" t="str">
        <v/>
      </c>
    </row>
    <row r="13" ht="15" customHeight="1">
      <c r="A13" s="93" t="str">
        <v>L</v>
      </c>
      <c r="B13" s="94" t="str">
        <v>Engagement Matrix: Lead (one per row, drives the effort)</v>
      </c>
    </row>
    <row r="14" ht="15" customHeight="1">
      <c r="A14" s="97" t="str">
        <v>S</v>
      </c>
      <c r="B14" s="98" t="str">
        <v>Engagement Matrix: Sign-off (one or more formal approval)</v>
      </c>
    </row>
    <row r="15" ht="15" customHeight="1">
      <c r="A15" s="93" t="str">
        <v>C</v>
      </c>
      <c r="B15" s="94" t="str">
        <v>Engagement Matrix: Contribute (does work, input)</v>
      </c>
    </row>
    <row r="16" ht="15" customHeight="1">
      <c r="A16" s="97" t="str">
        <v>R</v>
      </c>
      <c r="B16" s="98" t="str">
        <v>Engagement Matrix: Reviewer (formal review, no approval authority)</v>
      </c>
    </row>
    <row r="17" ht="15" customHeight="1">
      <c r="A17" s="93" t="str">
        <v>I</v>
      </c>
      <c r="B17" s="94" t="str">
        <v>Engagement Matrix: Informed (kept aware)</v>
      </c>
    </row>
    <row r="18" ht="15" customHeight="1">
      <c r="A18" s="97" t="str">
        <v>EXE</v>
      </c>
      <c r="B18" s="98" t="str">
        <v>Execute phase</v>
      </c>
    </row>
    <row r="19" ht="15" customHeight="1">
      <c r="A19" s="93" t="str">
        <v>INI</v>
      </c>
      <c r="B19" s="94" t="str">
        <v>Initiate phase</v>
      </c>
    </row>
    <row r="20" ht="15" customHeight="1">
      <c r="A20" s="97" t="str">
        <v>IT</v>
      </c>
      <c r="B20" s="98" t="str">
        <v>Information Technology</v>
      </c>
    </row>
    <row r="21" ht="15" customHeight="1">
      <c r="A21" s="93" t="str">
        <v>N/A</v>
      </c>
      <c r="B21" s="94" t="str">
        <v>Not applicable</v>
      </c>
    </row>
    <row r="22" ht="34.5" customHeight="1">
      <c r="A22" s="97" t="str">
        <v>PenTesting</v>
      </c>
      <c r="B22" s="98" t="str">
        <v>Penetration Testing - It’s a controlled, authorized security test where specialists try to simulate real-world cyberattacks on a system, application, or network to find vulnerabilities before malicious actors do</v>
      </c>
    </row>
    <row r="23" ht="15" customHeight="1">
      <c r="A23" s="93" t="str">
        <v>PIA</v>
      </c>
      <c r="B23" s="94" t="str">
        <v>Privacy Impact Assessment</v>
      </c>
    </row>
    <row r="24" ht="15" customHeight="1">
      <c r="A24" s="97" t="str">
        <v>PIR</v>
      </c>
      <c r="B24" s="98" t="str">
        <v>Post-Implementation Review</v>
      </c>
    </row>
    <row r="25" ht="15" customHeight="1">
      <c r="A25" s="93" t="str">
        <v>PLN</v>
      </c>
      <c r="B25" s="94" t="str">
        <v>Planning phase</v>
      </c>
    </row>
    <row r="26" ht="15" customHeight="1">
      <c r="A26" s="97" t="str">
        <v>PM</v>
      </c>
      <c r="B26" s="98" t="str">
        <v>Project Manager, Project Management</v>
      </c>
    </row>
    <row r="27" ht="15" customHeight="1">
      <c r="A27" s="93" t="str">
        <v>PMBOK</v>
      </c>
      <c r="B27" s="94" t="str">
        <v>Project Management Body of Knowledge published by PMI</v>
      </c>
    </row>
    <row r="28" ht="15" customHeight="1">
      <c r="A28" s="97" t="str">
        <v>PMI</v>
      </c>
      <c r="B28" s="98" t="str">
        <v>Project Management Institute</v>
      </c>
    </row>
    <row r="29" ht="23" customHeight="1">
      <c r="A29" s="93" t="str">
        <v>PMP</v>
      </c>
      <c r="B29" s="94" t="str">
        <v>Project Management Professional, a globally recognized gold-standard certification from the PMI</v>
      </c>
    </row>
    <row r="30" ht="15" customHeight="1">
      <c r="A30" s="97" t="str">
        <v>PPM</v>
      </c>
      <c r="B30" s="98" t="str">
        <v>Project Portfolio Management</v>
      </c>
    </row>
    <row r="31" ht="15" customHeight="1">
      <c r="A31" s="93" t="str">
        <v>RA</v>
      </c>
      <c r="B31" s="94" t="str">
        <v>Risk Assessment</v>
      </c>
    </row>
    <row r="32" ht="15" customHeight="1">
      <c r="A32" s="97" t="str">
        <v>RACI</v>
      </c>
      <c r="B32" s="98" t="str">
        <v>RACI matrix: Responsible, Accountable, Consulted, Informed</v>
      </c>
    </row>
    <row r="33" ht="34.5" customHeight="1">
      <c r="A33" s="93" t="str">
        <v>Repo</v>
      </c>
      <c r="B33" s="94" t="str">
        <v>Repository - A repository (repo) is a centralized place where project files, documents, code, configurations, and version history are stored and managed.</v>
      </c>
    </row>
    <row r="34" ht="15" customHeight="1">
      <c r="A34" s="97" t="str">
        <v>RFC</v>
      </c>
      <c r="B34" s="98" t="str">
        <v>Request for Change</v>
      </c>
    </row>
    <row r="35" ht="34.5" customHeight="1">
      <c r="A35" s="93" t="str">
        <v>RTM</v>
      </c>
      <c r="B35" s="94" t="str">
        <v>Requirements Traceability Matrix - quality assurance document that maps every product requirement to its corresponding design, development, and testing artifacts</v>
      </c>
    </row>
    <row r="36" ht="23" customHeight="1">
      <c r="A36" s="97" t="str">
        <v>SAD</v>
      </c>
      <c r="B36" s="98" t="str">
        <v>Solution Architecture Document - comprehensive blueprint that bridges business goals and technical execution</v>
      </c>
    </row>
    <row r="37" ht="34.5" customHeight="1">
      <c r="A37" s="93" t="str">
        <v>SIEM</v>
      </c>
      <c r="B37" s="94" t="str">
        <v>Security Information and Event Management - integration means connecting different systems, applications, and security tools so they can send their logs, alerts, and security‑related data into a central SIEM platform.</v>
      </c>
    </row>
    <row r="38" ht="46" customHeight="1">
      <c r="A38" s="97" t="str">
        <v>SIMM</v>
      </c>
      <c r="B38" s="98" t="str">
        <v>State Information Management Manual. Published by the California Department of Technology (CDT), it is the state's official framework of policies, standards, and instructions for managing, overseeing, and executing Information Technology (IT) projects</v>
      </c>
    </row>
    <row r="39" ht="15" customHeight="1">
      <c r="A39" s="93" t="str">
        <v>SSP</v>
      </c>
      <c r="B39" s="94" t="str">
        <v>System Security Plan</v>
      </c>
    </row>
    <row r="40" ht="34.5" customHeight="1">
      <c r="A40" s="97" t="str">
        <v>TARC</v>
      </c>
      <c r="B40" s="98" t="str">
        <v>Technical Architecture Review Committee - governing body that evaluates IT and system designs to ensure they align with technical standards, Security requirements, and long-term business goals before project implementation</v>
      </c>
    </row>
    <row r="41" ht="15" customHeight="1">
      <c r="A41" s="93" t="str">
        <v>TRT</v>
      </c>
      <c r="B41" s="94" t="str">
        <v>Technical Review Team</v>
      </c>
    </row>
    <row r="42" ht="15" customHeight="1">
      <c r="A42" s="97" t="str">
        <v>RRB</v>
      </c>
      <c r="B42" s="98" t="str">
        <v>Release Review Board</v>
      </c>
    </row>
    <row r="43" ht="15" customHeight="1">
      <c r="A43" s="93" t="str">
        <v>PO</v>
      </c>
      <c r="B43" s="94" t="str">
        <v>Product Owner (Agile)</v>
      </c>
    </row>
    <row r="44" ht="15" customHeight="1">
      <c r="A44" s="97" t="str">
        <v>ScrumT</v>
      </c>
      <c r="B44" s="98" t="str">
        <v>Scrum Team</v>
      </c>
    </row>
    <row r="45" ht="15" customHeight="1">
      <c r="A45" s="93" t="str">
        <v>HW/SW PO</v>
      </c>
      <c r="B45" s="94" t="str">
        <v>Hardware/Software Product Owner</v>
      </c>
    </row>
    <row r="46" ht="34.5" customHeight="1">
      <c r="A46" s="97" t="str">
        <v>UAT</v>
      </c>
      <c r="B46" s="98" t="str">
        <v>User Acceptance Testing - final phase of software development in which real-world users test an application to ensure functionality and business needs met before a production launch</v>
      </c>
    </row>
    <row r="47" ht="34.5" customHeight="1">
      <c r="A47" s="93" t="str">
        <v>WBS</v>
      </c>
      <c r="B47" s="94" t="str">
        <v>Work Breakdown Structure - a hierarchical, deliverable-oriented decomposition of a project with breaking down complex scopes into smaller chunks called work packages</v>
      </c>
    </row>
    <row r="48" ht="16" customHeight="1">
      <c r="A48" s="12" t="str">
        <v>EDD · ESPMO Project Profiler   ·   Licenses for GitHub Copilot Pilot   ·   Sheet 7 of 8   ·   Generated Jul 6, 2026</v>
      </c>
      <c r="B48" s="12" t="str">
        <v/>
      </c>
    </row>
  </sheetData>
  <mergeCells count="2">
    <mergeCell ref="A1:B1"/>
    <mergeCell ref="A48:B48"/>
  </mergeCells>
  <pageMargins left="0.3" right="0.3" top="0.4" bottom="0.4" header="0.2" footer="0.2"/>
  <ignoredErrors>
    <ignoredError numberStoredAsText="1" sqref="A1:B48"/>
  </ignoredErrors>
</worksheet>
</file>

<file path=xl/worksheets/sheet8.xml><?xml version="1.0" encoding="utf-8"?>
<worksheet xmlns="http://schemas.openxmlformats.org/spreadsheetml/2006/main" xmlns:r="http://schemas.openxmlformats.org/officeDocument/2006/relationships">
  <dimension ref="A1:G49"/>
  <sheetViews>
    <sheetView workbookViewId="0"/>
  </sheetViews>
  <cols>
    <col min="1" max="1" width="34.83203125" customWidth="1"/>
    <col min="2" max="2" width="12.83203125" customWidth="1"/>
    <col min="3" max="3" width="12.83203125" customWidth="1"/>
    <col min="4" max="4" width="8.83203125" customWidth="1"/>
    <col min="5" max="5" width="40.83203125" customWidth="1"/>
    <col min="6" max="6" width="46.83203125" customWidth="1"/>
    <col min="7" max="7" width="40.83203125" customWidth="1"/>
  </cols>
  <sheetData>
    <row r="1" ht="16" customHeight="1">
      <c r="A1" s="13" t="str">
        <v>EDD · ESPMO — Licenses for GitHub Copilot Pilot — CA-PMF TEMPLATES</v>
      </c>
      <c r="B1" s="13" t="str">
        <v/>
      </c>
      <c r="C1" s="13" t="str">
        <v/>
      </c>
      <c r="D1" s="13" t="str">
        <v/>
      </c>
      <c r="E1" s="13" t="str">
        <v/>
      </c>
      <c r="F1" s="13" t="str">
        <v/>
      </c>
      <c r="G1" s="13" t="str">
        <v/>
      </c>
    </row>
    <row r="2">
      <c r="A2" s="28" t="str">
        <v>Profile: Hybrid · Standard. Hybrid delivery — tier not set, defaulting to Standard (method from recommendation).  Reference: EDD / CA-PMF templates for this profile (Required and Recommended); chosen PAL → delivery approach → Waterfall T-shirt size. Many are not yet built/wired for auto-generation.</v>
      </c>
      <c r="B2" s="28" t="str">
        <v/>
      </c>
      <c r="C2" s="28" t="str">
        <v/>
      </c>
      <c r="D2" s="28" t="str">
        <v/>
      </c>
      <c r="E2" s="28" t="str">
        <v/>
      </c>
      <c r="F2" s="28" t="str">
        <v/>
      </c>
      <c r="G2" s="28" t="str">
        <v/>
      </c>
    </row>
    <row r="3">
      <c r="A3" s="14" t="str">
        <v>Template</v>
      </c>
      <c r="B3" s="14" t="str">
        <v>Need</v>
      </c>
      <c r="C3" s="14" t="str">
        <v>Phase</v>
      </c>
      <c r="D3" s="14" t="str">
        <v>Owner</v>
      </c>
      <c r="E3" s="14" t="str">
        <v>File</v>
      </c>
      <c r="F3" s="14" t="str">
        <v>SharePoint path</v>
      </c>
      <c r="G3" s="14" t="str">
        <v>Note (author)</v>
      </c>
    </row>
    <row r="4">
      <c r="A4" s="29" t="str">
        <v>Required · 11</v>
      </c>
      <c r="B4" s="29" t="str">
        <v/>
      </c>
      <c r="C4" s="29" t="str">
        <v/>
      </c>
      <c r="D4" s="29" t="str">
        <v/>
      </c>
      <c r="E4" s="29" t="str">
        <v/>
      </c>
      <c r="F4" s="29" t="str">
        <v/>
      </c>
      <c r="G4" s="29" t="str">
        <v/>
      </c>
    </row>
    <row r="5">
      <c r="A5" s="11" t="str">
        <v>Concept Development and Readiness Assessment</v>
      </c>
      <c r="B5" s="99" t="str">
        <v>Required</v>
      </c>
      <c r="C5" s="11" t="str">
        <v>Concept</v>
      </c>
      <c r="D5" s="11" t="str">
        <v/>
      </c>
      <c r="E5" s="11" t="str">
        <v>Concept_Development_and_Readiness_Assessment_Template_with_Instructions.docx</v>
      </c>
      <c r="F5" s="11" t="str">
        <v>sites/ITB-TGD-PRO/Templates/Project Templates/CA-PMF CONCEPT_Templates_w_Instructions</v>
      </c>
      <c r="G5" s="11" t="str">
        <v>Replaced by EDD Work Intake process</v>
      </c>
    </row>
    <row r="6">
      <c r="A6" s="17" t="str">
        <v>Hybrid-Agile Project Charter</v>
      </c>
      <c r="B6" s="99" t="str">
        <v>Required</v>
      </c>
      <c r="C6" s="17" t="str">
        <v>Initiation</v>
      </c>
      <c r="D6" s="17" t="str">
        <v/>
      </c>
      <c r="E6" s="17" t="str">
        <v>(to build)</v>
      </c>
      <c r="F6" s="17" t="str">
        <v/>
      </c>
      <c r="G6" s="17" t="str">
        <v>New template to be created for Hybrid-Agile only</v>
      </c>
    </row>
    <row r="7">
      <c r="A7" s="11" t="str">
        <v>RACI Matrix</v>
      </c>
      <c r="B7" s="99" t="str">
        <v>Required</v>
      </c>
      <c r="C7" s="11" t="str">
        <v>Initiation</v>
      </c>
      <c r="D7" s="11" t="str">
        <v/>
      </c>
      <c r="E7" s="11" t="str">
        <v>RACI_Matrix_Template_with_Instructions.xlsx</v>
      </c>
      <c r="F7" s="11" t="str">
        <v>sites/ITB-TGD-PRO/Templates/Project Templates/CA-PMF INITIATING_Templates_w_Instructions</v>
      </c>
      <c r="G7" s="11" t="str">
        <v>CA-PMF template should be for PAL projects only (USE NEW VERSION OF RACI)</v>
      </c>
    </row>
    <row r="8">
      <c r="A8" s="17" t="str">
        <v>Stakeholder Register</v>
      </c>
      <c r="B8" s="99" t="str">
        <v>Required</v>
      </c>
      <c r="C8" s="17" t="str">
        <v>Initiation</v>
      </c>
      <c r="D8" s="17" t="str">
        <v/>
      </c>
      <c r="E8" s="17" t="str">
        <v>Stakeholder_Register_Template_with_Instructions.docx</v>
      </c>
      <c r="F8" s="17" t="str">
        <v>sites/ITB-TGD-PRO/Templates/Project Templates/CA-PMF INITIATING_Templates_w_Instructions</v>
      </c>
      <c r="G8" s="17" t="str">
        <v>Recommended for all sizes of projects but only required for large &amp; medium</v>
      </c>
    </row>
    <row r="9">
      <c r="A9" s="11" t="str">
        <v>Hybrid-Agile Product Roadmap</v>
      </c>
      <c r="B9" s="99" t="str">
        <v>Required</v>
      </c>
      <c r="C9" s="11" t="str">
        <v>Planning</v>
      </c>
      <c r="D9" s="11" t="str">
        <v/>
      </c>
      <c r="E9" s="11" t="str">
        <v>(to build)</v>
      </c>
      <c r="F9" s="11" t="str">
        <v/>
      </c>
      <c r="G9" s="11" t="str">
        <v>New template to be created for Hybrid-Agile only</v>
      </c>
    </row>
    <row r="10">
      <c r="A10" s="17" t="str">
        <v>Agile-Hybrid Project Management Plan</v>
      </c>
      <c r="B10" s="99" t="str">
        <v>Required</v>
      </c>
      <c r="C10" s="17" t="str">
        <v>Planning</v>
      </c>
      <c r="D10" s="17" t="str">
        <v/>
      </c>
      <c r="E10" s="17" t="str">
        <v>(to build)</v>
      </c>
      <c r="F10" s="17" t="str">
        <v/>
      </c>
      <c r="G10" s="17" t="str">
        <v>New template to be created for Hybrid-Agile only</v>
      </c>
    </row>
    <row r="11">
      <c r="A11" s="11" t="str">
        <v>Risk Management Plan</v>
      </c>
      <c r="B11" s="99" t="str">
        <v>Required</v>
      </c>
      <c r="C11" s="11" t="str">
        <v>Planning</v>
      </c>
      <c r="D11" s="11" t="str">
        <v/>
      </c>
      <c r="E11" s="11" t="str">
        <v>Risk_Management_Plan_Template_with_Instructions.docx</v>
      </c>
      <c r="F11" s="11" t="str">
        <v>sites/ITB-TGD-PRO/Templates/Project Templates/CA-PMF PLANNING_Templates_w_Instructions</v>
      </c>
      <c r="G11" s="11" t="str">
        <v/>
      </c>
    </row>
    <row r="12">
      <c r="A12" s="17" t="str">
        <v>Risk Register</v>
      </c>
      <c r="B12" s="99" t="str">
        <v>Required</v>
      </c>
      <c r="C12" s="17" t="str">
        <v>Planning</v>
      </c>
      <c r="D12" s="17" t="str">
        <v/>
      </c>
      <c r="E12" s="17" t="str">
        <v>Risk_Register_Template_with_Instructions.xlsx</v>
      </c>
      <c r="F12" s="17" t="str">
        <v>sites/ITB-TGD-PRO/Templates/Project Templates/CA-PMF PLANNING_Templates_w_Instructions</v>
      </c>
      <c r="G12" s="17" t="str">
        <v/>
      </c>
    </row>
    <row r="13">
      <c r="A13" s="11" t="str">
        <v>Stakeholder Management Plan</v>
      </c>
      <c r="B13" s="99" t="str">
        <v>Required</v>
      </c>
      <c r="C13" s="11" t="str">
        <v>Planning</v>
      </c>
      <c r="D13" s="11" t="str">
        <v/>
      </c>
      <c r="E13" s="11" t="str">
        <v>Stakeholder_Management_Plan_Template_with_Instructions.docx</v>
      </c>
      <c r="F13" s="11" t="str">
        <v>sites/ITB-TGD-PRO/Templates/Project Templates/CA-PMF PLANNING_Templates_w_Instructions</v>
      </c>
      <c r="G13" s="11" t="str">
        <v>Required for large &amp; medium but recommended for all sizes</v>
      </c>
    </row>
    <row r="14">
      <c r="A14" s="17" t="str">
        <v>Product Backlog for Hybrid-Agile projects</v>
      </c>
      <c r="B14" s="99" t="str">
        <v>Required</v>
      </c>
      <c r="C14" s="17" t="str">
        <v>Planning</v>
      </c>
      <c r="D14" s="17" t="str">
        <v/>
      </c>
      <c r="E14" s="17" t="str">
        <v>(to build)</v>
      </c>
      <c r="F14" s="17" t="str">
        <v/>
      </c>
      <c r="G14" s="17" t="str">
        <v>New template to be created for Hybrid-Agile only</v>
      </c>
    </row>
    <row r="15">
      <c r="A15" s="11" t="str">
        <v>Retrospective (Lessons Learned)</v>
      </c>
      <c r="B15" s="99" t="str">
        <v>Required</v>
      </c>
      <c r="C15" s="11" t="str">
        <v>Close</v>
      </c>
      <c r="D15" s="11" t="str">
        <v/>
      </c>
      <c r="E15" s="11" t="str">
        <v>(to build)</v>
      </c>
      <c r="F15" s="11" t="str">
        <v/>
      </c>
      <c r="G15" s="11" t="str">
        <v/>
      </c>
    </row>
    <row r="16">
      <c r="A16" s="29" t="str">
        <v>Recommended · 31</v>
      </c>
      <c r="B16" s="29" t="str">
        <v/>
      </c>
      <c r="C16" s="29" t="str">
        <v/>
      </c>
      <c r="D16" s="29" t="str">
        <v/>
      </c>
      <c r="E16" s="29" t="str">
        <v/>
      </c>
      <c r="F16" s="29" t="str">
        <v/>
      </c>
      <c r="G16" s="29" t="str">
        <v/>
      </c>
    </row>
    <row r="17">
      <c r="A17" s="11" t="str">
        <v>Project Document Approval</v>
      </c>
      <c r="B17" s="100" t="str">
        <v>Recommended</v>
      </c>
      <c r="C17" s="11" t="str">
        <v>Initiation</v>
      </c>
      <c r="D17" s="11" t="str">
        <v/>
      </c>
      <c r="E17" s="11" t="str">
        <v>Project_Document_Approval_Template_with_Instructions.docx</v>
      </c>
      <c r="F17" s="11" t="str">
        <v>sites/ITB-TGD-PRO/Templates/Project Templates/CA-PMF INITIATING_Templates_w_Instructions</v>
      </c>
      <c r="G17" s="11" t="str">
        <v>Only needed for a project that needs formal document or deliverable sign-offs</v>
      </c>
    </row>
    <row r="18">
      <c r="A18" s="17" t="str">
        <v>Project Priorities</v>
      </c>
      <c r="B18" s="100" t="str">
        <v>Recommended</v>
      </c>
      <c r="C18" s="17" t="str">
        <v>Initiation</v>
      </c>
      <c r="D18" s="17" t="str">
        <v/>
      </c>
      <c r="E18" s="17" t="str">
        <v>Project_Priorities_Template_with_Instructions.docx</v>
      </c>
      <c r="F18" s="17" t="str">
        <v>sites/ITB-TGD-PRO/Templates/Project Templates/CA-PMF INITIATING_Templates_w_Instructions</v>
      </c>
      <c r="G18" s="17" t="str">
        <v>Optional template</v>
      </c>
    </row>
    <row r="19">
      <c r="A19" s="11" t="str">
        <v>Change Control Management Plan</v>
      </c>
      <c r="B19" s="100" t="str">
        <v>Recommended</v>
      </c>
      <c r="C19" s="11" t="str">
        <v>Planning</v>
      </c>
      <c r="D19" s="11" t="str">
        <v>PMO</v>
      </c>
      <c r="E19" s="11" t="str">
        <v>Change_Control_Management_Plan_Template_with_Instructions.docx</v>
      </c>
      <c r="F19" s="11" t="str">
        <v>sites/ITB-TGD-PRO/Templates/Project Templates/CA-PMF PLANNING_Templates_w_Instructions</v>
      </c>
      <c r="G19" s="11" t="str">
        <v>Required for large, recommended for medium</v>
      </c>
    </row>
    <row r="20">
      <c r="A20" s="17" t="str">
        <v>Change Request Form</v>
      </c>
      <c r="B20" s="100" t="str">
        <v>Recommended</v>
      </c>
      <c r="C20" s="17" t="str">
        <v>Planning</v>
      </c>
      <c r="D20" s="17" t="str">
        <v>PM</v>
      </c>
      <c r="E20" s="17" t="str">
        <v>Change_Request_Form_Template_with_Instructions.docx</v>
      </c>
      <c r="F20" s="17" t="str">
        <v>sites/ITB-TGD-PRO/Templates/Project Templates/CA-PMF PLANNING_Templates_w_Instructions</v>
      </c>
      <c r="G20" s="17" t="str">
        <v>Required for large, recommended for medium</v>
      </c>
    </row>
    <row r="21">
      <c r="A21" s="11" t="str">
        <v>Change Request Log</v>
      </c>
      <c r="B21" s="100" t="str">
        <v>Recommended</v>
      </c>
      <c r="C21" s="11" t="str">
        <v>Planning</v>
      </c>
      <c r="D21" s="11" t="str">
        <v/>
      </c>
      <c r="E21" s="11" t="str">
        <v>Change_Request_Log_Template_with_Instructions.xlsx</v>
      </c>
      <c r="F21" s="11" t="str">
        <v>sites/ITB-TGD-PRO/Templates/Project Templates/CA-PMF PLANNING_Templates_w_Instructions</v>
      </c>
      <c r="G21" s="11" t="str">
        <v>Required for large and medium</v>
      </c>
    </row>
    <row r="22">
      <c r="A22" s="17" t="str">
        <v>Communications Management Plan</v>
      </c>
      <c r="B22" s="100" t="str">
        <v>Recommended</v>
      </c>
      <c r="C22" s="17" t="str">
        <v>Planning</v>
      </c>
      <c r="D22" s="17" t="str">
        <v/>
      </c>
      <c r="E22" s="17" t="str">
        <v>Communications_Management_Plan_Template_with_Instructions.docx</v>
      </c>
      <c r="F22" s="17" t="str">
        <v>sites/ITB-TGD-PRO/Templates/Project Templates/CA-PMF PLANNING_Templates_w_Instructions</v>
      </c>
      <c r="G22" s="17" t="str">
        <v>Required for large, recommended for medium</v>
      </c>
    </row>
    <row r="23">
      <c r="A23" s="11" t="str">
        <v>Contract Management Plan</v>
      </c>
      <c r="B23" s="100" t="str">
        <v>Recommended</v>
      </c>
      <c r="C23" s="11" t="str">
        <v>Planning</v>
      </c>
      <c r="D23" s="11" t="str">
        <v/>
      </c>
      <c r="E23" s="11" t="str">
        <v>Contract_Management_Plan_Template_with_Instructions.docx</v>
      </c>
      <c r="F23" s="11" t="str">
        <v>sites/ITB-TGD-PRO/Templates/Project Templates/CA-PMF PLANNING_Templates_w_Instructions</v>
      </c>
      <c r="G23" s="11" t="str">
        <v>Optional for any size project except PAL</v>
      </c>
    </row>
    <row r="24">
      <c r="A24" s="17" t="str">
        <v>Corrective Action Plan</v>
      </c>
      <c r="B24" s="100" t="str">
        <v>Recommended</v>
      </c>
      <c r="C24" s="17" t="str">
        <v>Planning</v>
      </c>
      <c r="D24" s="17" t="str">
        <v/>
      </c>
      <c r="E24" s="17" t="str">
        <v>Corrective_Action_Plan_Template_with_Instructions.docx</v>
      </c>
      <c r="F24" s="17" t="str">
        <v>sites/ITB-TGD-PRO/Templates/Project Templates/CA-PMF PLANNING_Templates_w_Instructions</v>
      </c>
      <c r="G24" s="17" t="str">
        <v>Optional for any size project</v>
      </c>
    </row>
    <row r="25">
      <c r="A25" s="11" t="str">
        <v>Cost Management Plan</v>
      </c>
      <c r="B25" s="100" t="str">
        <v>Recommended</v>
      </c>
      <c r="C25" s="11" t="str">
        <v>Planning</v>
      </c>
      <c r="D25" s="11" t="str">
        <v/>
      </c>
      <c r="E25" s="11" t="str">
        <v>Cost_Management_Plan_Template_with_Instructions.docx</v>
      </c>
      <c r="F25" s="11" t="str">
        <v>sites/ITB-TGD-PRO/Templates/Project Templates/CA-PMF PLANNING_Templates_w_Instructions</v>
      </c>
      <c r="G25" s="11" t="str">
        <v>Optional for any size project except PAL</v>
      </c>
    </row>
    <row r="26">
      <c r="A26" s="17" t="str">
        <v>Governance Management Plan</v>
      </c>
      <c r="B26" s="100" t="str">
        <v>Recommended</v>
      </c>
      <c r="C26" s="17" t="str">
        <v>Planning</v>
      </c>
      <c r="D26" s="17" t="str">
        <v/>
      </c>
      <c r="E26" s="17" t="str">
        <v>Governance_Management_Plan_Template_with_Instructions.docx</v>
      </c>
      <c r="F26" s="17" t="str">
        <v>sites/ITB-TGD-PRO/Templates/Project Templates/CA-PMF PLANNING_Templates_w_Instructions</v>
      </c>
      <c r="G26" s="17" t="str">
        <v>Optional for any size project except PAL</v>
      </c>
    </row>
    <row r="27">
      <c r="A27" s="11" t="str">
        <v>Implementation Management Plan</v>
      </c>
      <c r="B27" s="100" t="str">
        <v>Recommended</v>
      </c>
      <c r="C27" s="11" t="str">
        <v>Planning</v>
      </c>
      <c r="D27" s="11" t="str">
        <v/>
      </c>
      <c r="E27" s="11" t="str">
        <v>Implementation_Management_Plan_Template_with_Instructions.docx</v>
      </c>
      <c r="F27" s="11" t="str">
        <v>sites/ITB-TGD-PRO/Templates/Project Templates/CA-PMF PLANNING_Templates_w_Instructions</v>
      </c>
      <c r="G27" s="11" t="str">
        <v>Optional for any size project</v>
      </c>
    </row>
    <row r="28">
      <c r="A28" s="17" t="str">
        <v>Issue Log</v>
      </c>
      <c r="B28" s="100" t="str">
        <v>Recommended</v>
      </c>
      <c r="C28" s="17" t="str">
        <v>Planning</v>
      </c>
      <c r="D28" s="17" t="str">
        <v/>
      </c>
      <c r="E28" s="17" t="str">
        <v>Issue_Log_Template_with_Instructions.xlsx</v>
      </c>
      <c r="F28" s="17" t="str">
        <v>sites/ITB-TGD-PRO/Templates/Project Templates/CA-PMF PLANNING_Templates_w_Instructions</v>
      </c>
      <c r="G28" s="17" t="str">
        <v/>
      </c>
    </row>
    <row r="29">
      <c r="A29" s="11" t="str">
        <v>Issue Management Plan</v>
      </c>
      <c r="B29" s="100" t="str">
        <v>Recommended</v>
      </c>
      <c r="C29" s="11" t="str">
        <v>Planning</v>
      </c>
      <c r="D29" s="11" t="str">
        <v/>
      </c>
      <c r="E29" s="11" t="str">
        <v>Issue_Management_Plan_Template_with_Instructions.docx</v>
      </c>
      <c r="F29" s="11" t="str">
        <v>sites/ITB-TGD-PRO/Templates/Project Templates/CA-PMF PLANNING_Templates_w_Instructions</v>
      </c>
      <c r="G29" s="11" t="str">
        <v/>
      </c>
    </row>
    <row r="30">
      <c r="A30" s="17" t="str">
        <v>Maintenance and Operations Transition Management Plan</v>
      </c>
      <c r="B30" s="100" t="str">
        <v>Recommended</v>
      </c>
      <c r="C30" s="17" t="str">
        <v>Planning</v>
      </c>
      <c r="D30" s="17" t="str">
        <v/>
      </c>
      <c r="E30" s="17" t="str">
        <v>Maintenance_and_Operations_Transition_Management_Plan_Template_with_Instructions.docx</v>
      </c>
      <c r="F30" s="17" t="str">
        <v>sites/ITB-TGD-PRO/Templates/Project Templates/CA-PMF PLANNING_Templates_w_Instructions</v>
      </c>
      <c r="G30" s="17" t="str">
        <v>Optional for any size project</v>
      </c>
    </row>
    <row r="31">
      <c r="A31" s="11" t="str">
        <v>Meeting Agenda and Minutes</v>
      </c>
      <c r="B31" s="100" t="str">
        <v>Recommended</v>
      </c>
      <c r="C31" s="11" t="str">
        <v>Planning</v>
      </c>
      <c r="D31" s="11" t="str">
        <v/>
      </c>
      <c r="E31" s="11" t="str">
        <v>Meeting_Agenda_and_Minutes_Template_with_Instructions.docx</v>
      </c>
      <c r="F31" s="11" t="str">
        <v>sites/ITB-TGD-PRO/Templates/Project Templates/CA-PMF PLANNING_Templates_w_Instructions</v>
      </c>
      <c r="G31" s="11" t="str">
        <v>Optional for any size project</v>
      </c>
    </row>
    <row r="32">
      <c r="A32" s="17" t="str">
        <v>Planning Process Phase Checklist</v>
      </c>
      <c r="B32" s="100" t="str">
        <v>Recommended</v>
      </c>
      <c r="C32" s="17" t="str">
        <v>Planning</v>
      </c>
      <c r="D32" s="17" t="str">
        <v/>
      </c>
      <c r="E32" s="17" t="str">
        <v>Planning_Process_Phase_Checklist_Template_with_Instructions.docx</v>
      </c>
      <c r="F32" s="17" t="str">
        <v>sites/ITB-TGD-PRO/Templates/Project Templates/CA-PMF PLANNING_Templates_w_Instructions</v>
      </c>
      <c r="G32" s="17" t="str">
        <v>Optional for any size project</v>
      </c>
    </row>
    <row r="33">
      <c r="A33" s="11" t="str">
        <v>Procurement Management Plan</v>
      </c>
      <c r="B33" s="100" t="str">
        <v>Recommended</v>
      </c>
      <c r="C33" s="11" t="str">
        <v>Planning</v>
      </c>
      <c r="D33" s="11" t="str">
        <v/>
      </c>
      <c r="E33" s="11" t="str">
        <v>Procurement_Management_Plan_Template_with_Instructions.docx</v>
      </c>
      <c r="F33" s="11" t="str">
        <v>sites/ITB-TGD-PRO/Templates/Project Templates/CA-PMF PLANNING_Templates_w_Instructions</v>
      </c>
      <c r="G33" s="11" t="str">
        <v>Optional for any size project</v>
      </c>
    </row>
    <row r="34">
      <c r="A34" s="17" t="str">
        <v>Project Org Chart</v>
      </c>
      <c r="B34" s="100" t="str">
        <v>Recommended</v>
      </c>
      <c r="C34" s="17" t="str">
        <v>Planning</v>
      </c>
      <c r="D34" s="17" t="str">
        <v/>
      </c>
      <c r="E34" s="17" t="str">
        <v>Project_Org_Chart_Template_with_Instructions.docx</v>
      </c>
      <c r="F34" s="17" t="str">
        <v>sites/ITB-TGD-PRO/Templates/Project Templates/CA-PMF PLANNING_Templates_w_Instructions</v>
      </c>
      <c r="G34" s="17" t="str">
        <v>Optional for any size project</v>
      </c>
    </row>
    <row r="35">
      <c r="A35" s="11" t="str">
        <v>Quality Management Plan</v>
      </c>
      <c r="B35" s="100" t="str">
        <v>Recommended</v>
      </c>
      <c r="C35" s="11" t="str">
        <v>Planning</v>
      </c>
      <c r="D35" s="11" t="str">
        <v/>
      </c>
      <c r="E35" s="11" t="str">
        <v>Quality_Management_Plan_Template_with_Instructions.docx</v>
      </c>
      <c r="F35" s="11" t="str">
        <v>sites/ITB-TGD-PRO/Templates/Project Templates/CA-PMF PLANNING_Templates_w_Instructions</v>
      </c>
      <c r="G35" s="11" t="str">
        <v>Optional for any size project</v>
      </c>
    </row>
    <row r="36">
      <c r="A36" s="17" t="str">
        <v>Resource Management Plan</v>
      </c>
      <c r="B36" s="100" t="str">
        <v>Recommended</v>
      </c>
      <c r="C36" s="17" t="str">
        <v>Planning</v>
      </c>
      <c r="D36" s="17" t="str">
        <v/>
      </c>
      <c r="E36" s="17" t="str">
        <v>Resource_Management_Plan_Template_with_Instructions.docx</v>
      </c>
      <c r="F36" s="17" t="str">
        <v>sites/ITB-TGD-PRO/Templates/Project Templates/CA-PMF PLANNING_Templates_w_Instructions</v>
      </c>
      <c r="G36" s="17" t="str">
        <v>Optional for any size project except PAL</v>
      </c>
    </row>
    <row r="37">
      <c r="A37" s="11" t="str">
        <v>Skills Assessment</v>
      </c>
      <c r="B37" s="100" t="str">
        <v>Recommended</v>
      </c>
      <c r="C37" s="11" t="str">
        <v>Planning</v>
      </c>
      <c r="D37" s="11" t="str">
        <v/>
      </c>
      <c r="E37" s="11" t="str">
        <v>Skills_Assessment_Template_with_Instructions.docx</v>
      </c>
      <c r="F37" s="11" t="str">
        <v>sites/ITB-TGD-PRO/Templates/Project Templates/CA-PMF PLANNING_Templates_w_Instructions</v>
      </c>
      <c r="G37" s="11" t="str">
        <v>Optional for any size project</v>
      </c>
    </row>
    <row r="38">
      <c r="A38" s="17" t="str">
        <v>Deliverable Expectation Document</v>
      </c>
      <c r="B38" s="100" t="str">
        <v>Recommended</v>
      </c>
      <c r="C38" s="17" t="str">
        <v>Execution</v>
      </c>
      <c r="D38" s="17" t="str">
        <v/>
      </c>
      <c r="E38" s="17" t="str">
        <v>Deliverable_Expectation_Document_Template_with_Instructions.docx</v>
      </c>
      <c r="F38" s="17" t="str">
        <v>sites/ITB-TGD-PRO/Templates/Project Templates/CA-PMF EXECUTING_Templates_w_Instructions</v>
      </c>
      <c r="G38" s="17" t="str">
        <v>Optional for any size project</v>
      </c>
    </row>
    <row r="39">
      <c r="A39" s="11" t="str">
        <v>Executing Process Phase Checklist</v>
      </c>
      <c r="B39" s="100" t="str">
        <v>Recommended</v>
      </c>
      <c r="C39" s="11" t="str">
        <v>Execution</v>
      </c>
      <c r="D39" s="11" t="str">
        <v/>
      </c>
      <c r="E39" s="11" t="str">
        <v>Executing_Process_Phase_Checklist_Template_with_Instructions.docx</v>
      </c>
      <c r="F39" s="11" t="str">
        <v>sites/ITB-TGD-PRO/Templates/Project Templates/CA-PMF EXECUTING_Templates_w_Instructions</v>
      </c>
      <c r="G39" s="11" t="str">
        <v>Optional for any size project</v>
      </c>
    </row>
    <row r="40">
      <c r="A40" s="17" t="str">
        <v>Formal Product Acceptance</v>
      </c>
      <c r="B40" s="100" t="str">
        <v>Recommended</v>
      </c>
      <c r="C40" s="17" t="str">
        <v>Execution</v>
      </c>
      <c r="D40" s="17" t="str">
        <v/>
      </c>
      <c r="E40" s="17" t="str">
        <v>Formal_Product_Acceptance_Template_with_Instructions.docx</v>
      </c>
      <c r="F40" s="17" t="str">
        <v>sites/ITB-TGD-PRO/Templates/Project Templates/CA-PMF EXECUTING_Templates_w_Instructions</v>
      </c>
      <c r="G40" s="17" t="str">
        <v>Optional for any size project</v>
      </c>
    </row>
    <row r="41">
      <c r="A41" s="11" t="str">
        <v>Operational Readiness Assessment ORA</v>
      </c>
      <c r="B41" s="100" t="str">
        <v>Recommended</v>
      </c>
      <c r="C41" s="11" t="str">
        <v>Execution</v>
      </c>
      <c r="D41" s="11" t="str">
        <v/>
      </c>
      <c r="E41" s="11" t="str">
        <v>Operational_Readiness_Assessment_ORA_Template_with_Instructions.docx</v>
      </c>
      <c r="F41" s="11" t="str">
        <v>sites/ITB-TGD-PRO/Templates/Project Templates/CA-PMF EXECUTING_Templates_w_Instructions</v>
      </c>
      <c r="G41" s="11" t="str">
        <v>Optional for any size project</v>
      </c>
    </row>
    <row r="42">
      <c r="A42" s="17" t="str">
        <v>Process Improvement Plan</v>
      </c>
      <c r="B42" s="100" t="str">
        <v>Recommended</v>
      </c>
      <c r="C42" s="17" t="str">
        <v>Execution</v>
      </c>
      <c r="D42" s="17" t="str">
        <v/>
      </c>
      <c r="E42" s="17" t="str">
        <v>Process_Improvement_Plan_Template_with_Instructions.docx</v>
      </c>
      <c r="F42" s="17" t="str">
        <v>sites/ITB-TGD-PRO/Templates/Project Templates/CA-PMF EXECUTING_Templates_w_Instructions</v>
      </c>
      <c r="G42" s="17" t="str">
        <v>Optional for any size project</v>
      </c>
    </row>
    <row r="43">
      <c r="A43" s="11" t="str">
        <v>Sponsorship Commitment Survey</v>
      </c>
      <c r="B43" s="100" t="str">
        <v>Recommended</v>
      </c>
      <c r="C43" s="11" t="str">
        <v>Execution</v>
      </c>
      <c r="D43" s="11" t="str">
        <v/>
      </c>
      <c r="E43" s="11" t="str">
        <v>Sponsorship_Commitment_Survey_Template_with_Instructions.docx</v>
      </c>
      <c r="F43" s="11" t="str">
        <v>sites/ITB-TGD-PRO/Templates/Project Templates/CA-PMF EXECUTING_Templates_w_Instructions</v>
      </c>
      <c r="G43" s="11" t="str">
        <v>Optional for any size project</v>
      </c>
    </row>
    <row r="44">
      <c r="A44" s="17" t="str">
        <v>Team Effectiveness Survey</v>
      </c>
      <c r="B44" s="100" t="str">
        <v>Recommended</v>
      </c>
      <c r="C44" s="17" t="str">
        <v>Execution</v>
      </c>
      <c r="D44" s="17" t="str">
        <v/>
      </c>
      <c r="E44" s="17" t="str">
        <v>Team_Effectiveness_Survey_Template_with_Instructions.docx</v>
      </c>
      <c r="F44" s="17" t="str">
        <v>sites/ITB-TGD-PRO/Templates/Project Templates/CA-PMF EXECUTING_Templates_w_Instructions</v>
      </c>
      <c r="G44" s="17" t="str">
        <v>Optional for any size project</v>
      </c>
    </row>
    <row r="45">
      <c r="A45" s="11" t="str">
        <v>Work Authorization</v>
      </c>
      <c r="B45" s="100" t="str">
        <v>Recommended</v>
      </c>
      <c r="C45" s="11" t="str">
        <v>Execution</v>
      </c>
      <c r="D45" s="11" t="str">
        <v/>
      </c>
      <c r="E45" s="11" t="str">
        <v>Work_Authorization_Template_with_Instructions.docx</v>
      </c>
      <c r="F45" s="11" t="str">
        <v>sites/ITB-TGD-PRO/Templates/Project Templates/CA-PMF EXECUTING_Templates_w_Instructions</v>
      </c>
      <c r="G45" s="11" t="str">
        <v>Optional for any size project</v>
      </c>
    </row>
    <row r="46">
      <c r="A46" s="17" t="str">
        <v>Closing Process Phase Checklist</v>
      </c>
      <c r="B46" s="100" t="str">
        <v>Recommended</v>
      </c>
      <c r="C46" s="17" t="str">
        <v>Close</v>
      </c>
      <c r="D46" s="17" t="str">
        <v/>
      </c>
      <c r="E46" s="17" t="str">
        <v>Closing_Process_Phase_Checklist_Template_with_Instructions.docx</v>
      </c>
      <c r="F46" s="17" t="str">
        <v>sites/ITB-TGD-PRO/Templates/Project Templates/CA-PMF CLOSING_Templates_w_Instructions</v>
      </c>
      <c r="G46" s="17" t="str">
        <v>Optional for any size project</v>
      </c>
    </row>
    <row r="47">
      <c r="A47" s="11" t="str">
        <v>Project Closeout Report</v>
      </c>
      <c r="B47" s="100" t="str">
        <v>Recommended</v>
      </c>
      <c r="C47" s="11" t="str">
        <v>Close</v>
      </c>
      <c r="D47" s="11" t="str">
        <v/>
      </c>
      <c r="E47" s="11" t="str">
        <v>Project_Closeout_Report_Template_with_Instructions.docx</v>
      </c>
      <c r="F47" s="11" t="str">
        <v>sites/ITB-TGD-PRO/Templates/Project Templates/CA-PMF CLOSING_Templates_w_Instructions</v>
      </c>
      <c r="G47" s="11" t="str">
        <v>Optional for any size project</v>
      </c>
    </row>
    <row r="49">
      <c r="A49" s="12" t="str">
        <v>EDD · ESPMO Project Profiler   ·   Licenses for GitHub Copilot Pilot   ·   Sheet 8 of 8   ·   Generated Jul 6, 2026</v>
      </c>
      <c r="B49" s="12" t="str">
        <v/>
      </c>
      <c r="C49" s="12" t="str">
        <v/>
      </c>
      <c r="D49" s="12" t="str">
        <v/>
      </c>
      <c r="E49" s="12" t="str">
        <v/>
      </c>
      <c r="F49" s="12" t="str">
        <v/>
      </c>
      <c r="G49" s="12" t="str">
        <v/>
      </c>
    </row>
  </sheetData>
  <mergeCells count="3">
    <mergeCell ref="A1:G1"/>
    <mergeCell ref="A49:G49"/>
    <mergeCell ref="A2:G2"/>
  </mergeCells>
  <pageMargins left="0.3" right="0.3" top="0.4" bottom="0.4" header="0.2" footer="0.2"/>
  <ignoredErrors>
    <ignoredError numberStoredAsText="1" sqref="A1:G49"/>
  </ignoredErrors>
</worksheet>
</file>

<file path=xl/worksheets/sheet9.xml><?xml version="1.0" encoding="utf-8"?>
<worksheet xmlns="http://schemas.openxmlformats.org/spreadsheetml/2006/main" xmlns:r="http://schemas.openxmlformats.org/officeDocument/2006/relationships">
  <dimension ref="A1:I32"/>
  <sheetViews>
    <sheetView workbookViewId="0"/>
  </sheetViews>
  <sheetData>
    <row r="1">
      <c r="A1" s="2" t="str">
        <v>template_name</v>
      </c>
      <c r="B1" s="2" t="str">
        <v>file</v>
      </c>
      <c r="C1" s="2" t="str">
        <v>generate</v>
      </c>
      <c r="D1" s="2" t="str">
        <v>document</v>
      </c>
      <c r="E1" s="2" t="str">
        <v>owner</v>
      </c>
      <c r="F1" s="2" t="str">
        <v>tier</v>
      </c>
      <c r="G1" s="2" t="str">
        <v>timing</v>
      </c>
      <c r="H1" s="2" t="str">
        <v>why</v>
      </c>
      <c r="I1" s="2" t="str">
        <v>deliverable_id</v>
      </c>
    </row>
    <row r="2">
      <c r="A2" s="2" t="str">
        <v>EAO Project Engagement Plan</v>
      </c>
      <c r="B2" s="2" t="str">
        <v/>
      </c>
      <c r="C2" s="2" t="str">
        <v>N</v>
      </c>
      <c r="D2" s="2" t="str">
        <v>EAO Project Engagement Plan</v>
      </c>
      <c r="E2" s="2" t="str">
        <v>TARC</v>
      </c>
      <c r="F2" s="2" t="str">
        <v/>
      </c>
      <c r="G2" s="2" t="str">
        <v>Initiate</v>
      </c>
      <c r="H2" s="2" t="str">
        <v>Baseline — every project</v>
      </c>
      <c r="I2" s="2" t="str">
        <v>INI-07</v>
      </c>
    </row>
    <row r="3">
      <c r="A3" s="2" t="str">
        <v>Stakeholder Register</v>
      </c>
      <c r="B3" s="2" t="str">
        <v>03_Stakeholder_Register_TEMPLATE.docx</v>
      </c>
      <c r="C3" s="2" t="str">
        <v>Y</v>
      </c>
      <c r="D3" s="2" t="str">
        <v>Stakeholder Register</v>
      </c>
      <c r="E3" s="2" t="str">
        <v>PMO</v>
      </c>
      <c r="F3" s="2" t="str">
        <v/>
      </c>
      <c r="G3" s="2" t="str">
        <v>Initiate</v>
      </c>
      <c r="H3" s="2" t="str">
        <v>Baseline — every project</v>
      </c>
      <c r="I3" s="2" t="str">
        <v>INI-03</v>
      </c>
    </row>
    <row r="4">
      <c r="A4" s="2" t="str">
        <v>Engagement Matrix</v>
      </c>
      <c r="B4" s="2" t="str">
        <v>04_Engagement_Matrix_TEMPLATE.docx</v>
      </c>
      <c r="C4" s="2" t="str">
        <v>Y</v>
      </c>
      <c r="D4" s="2" t="str">
        <v>Engagement Matrix</v>
      </c>
      <c r="E4" s="2" t="str">
        <v>PMO</v>
      </c>
      <c r="F4" s="2" t="str">
        <v/>
      </c>
      <c r="G4" s="2" t="str">
        <v>Initiate</v>
      </c>
      <c r="H4" s="2" t="str">
        <v>Baseline — every project</v>
      </c>
      <c r="I4" s="2" t="str">
        <v>INI-04</v>
      </c>
    </row>
    <row r="5">
      <c r="A5" s="2" t="str">
        <v>RACI</v>
      </c>
      <c r="B5" s="2" t="str">
        <v/>
      </c>
      <c r="C5" s="2" t="str">
        <v>Y</v>
      </c>
      <c r="D5" s="2" t="str">
        <v>RACI</v>
      </c>
      <c r="E5" s="2" t="str">
        <v>PMO</v>
      </c>
      <c r="F5" s="2" t="str">
        <v/>
      </c>
      <c r="G5" s="2" t="str">
        <v>Initiate</v>
      </c>
      <c r="H5" s="2" t="str">
        <v>Baseline — every project</v>
      </c>
      <c r="I5" s="2" t="str">
        <v/>
      </c>
    </row>
    <row r="6">
      <c r="A6" s="2" t="str">
        <v>RAID / CRAID Log</v>
      </c>
      <c r="B6" s="2" t="str">
        <v>05_CRAID_Log_TEMPLATE.docx</v>
      </c>
      <c r="C6" s="2" t="str">
        <v>Y</v>
      </c>
      <c r="D6" s="2" t="str">
        <v>RAID / CRAID Log</v>
      </c>
      <c r="E6" s="2" t="str">
        <v>PMO</v>
      </c>
      <c r="F6" s="2" t="str">
        <v/>
      </c>
      <c r="G6" s="2" t="str">
        <v>Ongoing</v>
      </c>
      <c r="H6" s="2" t="str">
        <v>Baseline — every project</v>
      </c>
      <c r="I6" s="2" t="str">
        <v>INI-05</v>
      </c>
    </row>
    <row r="7">
      <c r="A7" s="2" t="str">
        <v>Project Schedule</v>
      </c>
      <c r="B7" s="2" t="str">
        <v/>
      </c>
      <c r="C7" s="2" t="str">
        <v>Y</v>
      </c>
      <c r="D7" s="2" t="str">
        <v>Project Schedule</v>
      </c>
      <c r="E7" s="2" t="str">
        <v>PMO</v>
      </c>
      <c r="F7" s="2" t="str">
        <v/>
      </c>
      <c r="G7" s="2" t="str">
        <v>Plan</v>
      </c>
      <c r="H7" s="2" t="str">
        <v>Baseline — every project</v>
      </c>
      <c r="I7" s="2" t="str">
        <v>PLN-02</v>
      </c>
    </row>
    <row r="8">
      <c r="A8" s="2" t="str">
        <v>Implementation Plan</v>
      </c>
      <c r="B8" s="2" t="str">
        <v/>
      </c>
      <c r="C8" s="2" t="str">
        <v>N</v>
      </c>
      <c r="D8" s="2" t="str">
        <v>Implementation Plan</v>
      </c>
      <c r="E8" s="2" t="str">
        <v>TARC → Development Team</v>
      </c>
      <c r="F8" s="2" t="str">
        <v/>
      </c>
      <c r="G8" s="2" t="str">
        <v>Execute</v>
      </c>
      <c r="H8" s="2" t="str">
        <v>Baseline — every project</v>
      </c>
      <c r="I8" s="2" t="str">
        <v>PLN-08</v>
      </c>
    </row>
    <row r="9">
      <c r="A9" s="2" t="str">
        <v>Status Reporting</v>
      </c>
      <c r="B9" s="2" t="str">
        <v/>
      </c>
      <c r="C9" s="2" t="str">
        <v>Y</v>
      </c>
      <c r="D9" s="2" t="str">
        <v>Status Reporting</v>
      </c>
      <c r="E9" s="2" t="str">
        <v>PMO</v>
      </c>
      <c r="F9" s="2" t="str">
        <v/>
      </c>
      <c r="G9" s="2" t="str">
        <v>Ongoing</v>
      </c>
      <c r="H9" s="2" t="str">
        <v>Baseline — every project</v>
      </c>
      <c r="I9" s="2" t="str">
        <v>EXE-20</v>
      </c>
    </row>
    <row r="10">
      <c r="A10" s="2" t="str">
        <v>Closeout Report</v>
      </c>
      <c r="B10" s="2" t="str">
        <v/>
      </c>
      <c r="C10" s="2" t="str">
        <v>Y</v>
      </c>
      <c r="D10" s="2" t="str">
        <v>Closeout Report</v>
      </c>
      <c r="E10" s="2" t="str">
        <v>PMO</v>
      </c>
      <c r="F10" s="2" t="str">
        <v/>
      </c>
      <c r="G10" s="2" t="str">
        <v>Close</v>
      </c>
      <c r="H10" s="2" t="str">
        <v>Baseline — every project</v>
      </c>
      <c r="I10" s="2" t="str">
        <v>CLS-02</v>
      </c>
    </row>
    <row r="11">
      <c r="A11" s="2" t="str">
        <v>Lessons Learned</v>
      </c>
      <c r="B11" s="2" t="str">
        <v/>
      </c>
      <c r="C11" s="2" t="str">
        <v>Y</v>
      </c>
      <c r="D11" s="2" t="str">
        <v>Lessons Learned</v>
      </c>
      <c r="E11" s="2" t="str">
        <v>PMO</v>
      </c>
      <c r="F11" s="2" t="str">
        <v/>
      </c>
      <c r="G11" s="2" t="str">
        <v>Close</v>
      </c>
      <c r="H11" s="2" t="str">
        <v>Baseline — every project</v>
      </c>
      <c r="I11" s="2" t="str">
        <v>CLS-01</v>
      </c>
    </row>
    <row r="12">
      <c r="A12" s="2" t="str">
        <v>Delegated Approvals</v>
      </c>
      <c r="B12" s="2" t="str">
        <v/>
      </c>
      <c r="C12" s="2" t="str">
        <v>Y</v>
      </c>
      <c r="D12" s="2" t="str">
        <v>Delegated Approvals</v>
      </c>
      <c r="E12" s="2" t="str">
        <v>PMO</v>
      </c>
      <c r="F12" s="2" t="str">
        <v/>
      </c>
      <c r="G12" s="2" t="str">
        <v>Ongoing</v>
      </c>
      <c r="H12" s="2" t="str">
        <v>Baseline — every project</v>
      </c>
      <c r="I12" s="2" t="str">
        <v/>
      </c>
    </row>
    <row r="13">
      <c r="A13" s="2" t="str">
        <v>Project Charter (Mini)</v>
      </c>
      <c r="B13" s="2" t="str">
        <v>Project_Charter_Mini_TEMPLATE.docx</v>
      </c>
      <c r="C13" s="2" t="str">
        <v>Y</v>
      </c>
      <c r="D13" s="2" t="str">
        <v>Project Charter (Mini)</v>
      </c>
      <c r="E13" s="2" t="str">
        <v>PMO</v>
      </c>
      <c r="F13" s="2" t="str">
        <v/>
      </c>
      <c r="G13" s="2" t="str">
        <v>Initiate</v>
      </c>
      <c r="H13" s="2" t="str">
        <v>Baseline — every project</v>
      </c>
      <c r="I13" s="2" t="str">
        <v>INI-01</v>
      </c>
    </row>
    <row r="14">
      <c r="A14" s="2" t="str">
        <v>Project Management Plan (Mini)</v>
      </c>
      <c r="B14" s="2" t="str">
        <v>Project_Management_Plan_Mini_TEMPLATE.docx</v>
      </c>
      <c r="C14" s="2" t="str">
        <v>Y</v>
      </c>
      <c r="D14" s="2" t="str">
        <v>Project Management Plan (Mini)</v>
      </c>
      <c r="E14" s="2" t="str">
        <v>PMO</v>
      </c>
      <c r="F14" s="2" t="str">
        <v/>
      </c>
      <c r="G14" s="2" t="str">
        <v>Plan</v>
      </c>
      <c r="H14" s="2" t="str">
        <v>Baseline — every project</v>
      </c>
      <c r="I14" s="2" t="str">
        <v>PLN-01</v>
      </c>
    </row>
    <row r="15">
      <c r="A15" s="2" t="str">
        <v>Requirements Documentation</v>
      </c>
      <c r="B15" s="2" t="str">
        <v/>
      </c>
      <c r="C15" s="2" t="str">
        <v>Y</v>
      </c>
      <c r="D15" s="2" t="str">
        <v>Requirements Documentation</v>
      </c>
      <c r="E15" s="2" t="str">
        <v>PMO</v>
      </c>
      <c r="F15" s="2" t="str">
        <v/>
      </c>
      <c r="G15" s="2" t="str">
        <v>Plan</v>
      </c>
      <c r="H15" s="2" t="str">
        <v>Q1 (delivery approach: predictive)</v>
      </c>
      <c r="I15" s="2" t="str">
        <v>PLN-04</v>
      </c>
    </row>
    <row r="16">
      <c r="A16" s="2" t="str">
        <v>Test Plan &amp; Test Cases</v>
      </c>
      <c r="B16" s="2" t="str">
        <v/>
      </c>
      <c r="C16" s="2" t="str">
        <v>Y</v>
      </c>
      <c r="D16" s="2" t="str">
        <v>Test Plan &amp; Test Cases</v>
      </c>
      <c r="E16" s="2" t="str">
        <v>PMO</v>
      </c>
      <c r="F16" s="2" t="str">
        <v/>
      </c>
      <c r="G16" s="2" t="str">
        <v>Plan</v>
      </c>
      <c r="H16" s="2" t="str">
        <v>Q1 (delivery approach: predictive)</v>
      </c>
      <c r="I16" s="2" t="str">
        <v>PLN-06</v>
      </c>
    </row>
    <row r="17">
      <c r="A17" s="2" t="str">
        <v>Training Plan</v>
      </c>
      <c r="B17" s="2" t="str">
        <v/>
      </c>
      <c r="C17" s="2" t="str">
        <v>Y</v>
      </c>
      <c r="D17" s="2" t="str">
        <v>Training Plan</v>
      </c>
      <c r="E17" s="2" t="str">
        <v>PMO</v>
      </c>
      <c r="F17" s="2" t="str">
        <v/>
      </c>
      <c r="G17" s="2" t="str">
        <v>Plan</v>
      </c>
      <c r="H17" s="2" t="str">
        <v>Q1 (delivery approach: predictive)</v>
      </c>
      <c r="I17" s="2" t="str">
        <v>PLN-10</v>
      </c>
    </row>
    <row r="18">
      <c r="A18" s="2" t="str">
        <v>Transition Plan</v>
      </c>
      <c r="B18" s="2" t="str">
        <v/>
      </c>
      <c r="C18" s="2" t="str">
        <v>Y</v>
      </c>
      <c r="D18" s="2" t="str">
        <v>Transition Plan</v>
      </c>
      <c r="E18" s="2" t="str">
        <v>PMO</v>
      </c>
      <c r="F18" s="2" t="str">
        <v/>
      </c>
      <c r="G18" s="2" t="str">
        <v>Plan</v>
      </c>
      <c r="H18" s="2" t="str">
        <v>Q1 (delivery approach: predictive)</v>
      </c>
      <c r="I18" s="2" t="str">
        <v>PLN-11</v>
      </c>
    </row>
    <row r="19">
      <c r="A19" s="2" t="str">
        <v>Requirements Traceability Matrix</v>
      </c>
      <c r="B19" s="2" t="str">
        <v/>
      </c>
      <c r="C19" s="2" t="str">
        <v>Y</v>
      </c>
      <c r="D19" s="2" t="str">
        <v>Requirements Traceability Matrix</v>
      </c>
      <c r="E19" s="2" t="str">
        <v>PMO</v>
      </c>
      <c r="F19" s="2" t="str">
        <v/>
      </c>
      <c r="G19" s="2" t="str">
        <v>Plan</v>
      </c>
      <c r="H19" s="2" t="str">
        <v>Q1 (delivery approach: predictive)</v>
      </c>
      <c r="I19" s="2" t="str">
        <v>PLN-05</v>
      </c>
    </row>
    <row r="20">
      <c r="A20" s="2" t="str">
        <v>Rollback Plan</v>
      </c>
      <c r="B20" s="2" t="str">
        <v/>
      </c>
      <c r="C20" s="2" t="str">
        <v>N</v>
      </c>
      <c r="D20" s="2" t="str">
        <v>Rollback Plan</v>
      </c>
      <c r="E20" s="2" t="str">
        <v>TARC → Development Team</v>
      </c>
      <c r="F20" s="2" t="str">
        <v/>
      </c>
      <c r="G20" s="2" t="str">
        <v>Execute</v>
      </c>
      <c r="H20" s="2" t="str">
        <v>Q13 — new service</v>
      </c>
      <c r="I20" s="2" t="str">
        <v>PLN-09</v>
      </c>
    </row>
    <row r="21">
      <c r="A21" s="2" t="str">
        <v>RFC / RRB</v>
      </c>
      <c r="B21" s="2" t="str">
        <v/>
      </c>
      <c r="C21" s="2" t="str">
        <v>N</v>
      </c>
      <c r="D21" s="2" t="str">
        <v>RFC / RRB</v>
      </c>
      <c r="E21" s="2" t="str">
        <v>TARC → Development Team</v>
      </c>
      <c r="F21" s="2" t="str">
        <v/>
      </c>
      <c r="G21" s="2" t="str">
        <v>Execute</v>
      </c>
      <c r="H21" s="2" t="str">
        <v>Q13 — new service</v>
      </c>
      <c r="I21" s="2" t="str">
        <v>EXE-15</v>
      </c>
    </row>
    <row r="22">
      <c r="A22" s="2" t="str">
        <v>RRR Checklist</v>
      </c>
      <c r="B22" s="2" t="str">
        <v/>
      </c>
      <c r="C22" s="2" t="str">
        <v>N</v>
      </c>
      <c r="D22" s="2" t="str">
        <v>RRR Checklist</v>
      </c>
      <c r="E22" s="2" t="str">
        <v>TARC → Development Team</v>
      </c>
      <c r="F22" s="2" t="str">
        <v/>
      </c>
      <c r="G22" s="2" t="str">
        <v>Execute</v>
      </c>
      <c r="H22" s="2" t="str">
        <v>Q13 — new service</v>
      </c>
      <c r="I22" s="2" t="str">
        <v>INI-08</v>
      </c>
    </row>
    <row r="23">
      <c r="A23" s="2" t="str">
        <v>Hypercare / Production Readiness</v>
      </c>
      <c r="B23" s="2" t="str">
        <v/>
      </c>
      <c r="C23" s="2" t="str">
        <v>N</v>
      </c>
      <c r="D23" s="2" t="str">
        <v>Hypercare / Production Readiness</v>
      </c>
      <c r="E23" s="2" t="str">
        <v>TARC</v>
      </c>
      <c r="F23" s="2" t="str">
        <v/>
      </c>
      <c r="G23" s="2" t="str">
        <v>Execute</v>
      </c>
      <c r="H23" s="2" t="str">
        <v>Q13 — new service</v>
      </c>
      <c r="I23" s="2" t="str">
        <v>EXE-18</v>
      </c>
    </row>
    <row r="24">
      <c r="A24" s="2" t="str">
        <v>C&amp;A Package</v>
      </c>
      <c r="B24" s="2" t="str">
        <v/>
      </c>
      <c r="C24" s="2" t="str">
        <v>N</v>
      </c>
      <c r="D24" s="2" t="str">
        <v>C&amp;A Package</v>
      </c>
      <c r="E24" s="2" t="str">
        <v>TARC</v>
      </c>
      <c r="F24" s="2" t="str">
        <v/>
      </c>
      <c r="G24" s="2" t="str">
        <v>Execute</v>
      </c>
      <c r="H24" s="2" t="str">
        <v>Q28 — security review</v>
      </c>
      <c r="I24" s="2" t="str">
        <v>EXE-16</v>
      </c>
    </row>
    <row r="25">
      <c r="A25" s="2" t="str">
        <v>ISRP</v>
      </c>
      <c r="B25" s="2" t="str">
        <v/>
      </c>
      <c r="C25" s="2" t="str">
        <v>N</v>
      </c>
      <c r="D25" s="2" t="str">
        <v>ISRP</v>
      </c>
      <c r="E25" s="2" t="str">
        <v>TARC</v>
      </c>
      <c r="F25" s="2" t="str">
        <v/>
      </c>
      <c r="G25" s="2" t="str">
        <v>Execute</v>
      </c>
      <c r="H25" s="2" t="str">
        <v>Q28 — security review</v>
      </c>
      <c r="I25" s="2" t="str">
        <v>EXE-09</v>
      </c>
    </row>
    <row r="26">
      <c r="A26" s="2" t="str">
        <v>SIEM / Logging Kickoff</v>
      </c>
      <c r="B26" s="2" t="str">
        <v/>
      </c>
      <c r="C26" s="2" t="str">
        <v>N</v>
      </c>
      <c r="D26" s="2" t="str">
        <v>SIEM / Logging Kickoff</v>
      </c>
      <c r="E26" s="2" t="str">
        <v>TARC</v>
      </c>
      <c r="F26" s="2" t="str">
        <v/>
      </c>
      <c r="G26" s="2" t="str">
        <v>Execute</v>
      </c>
      <c r="H26" s="2" t="str">
        <v>Q28 — security review</v>
      </c>
      <c r="I26" s="2" t="str">
        <v>EXE-10</v>
      </c>
    </row>
    <row r="27">
      <c r="A27" s="2" t="str">
        <v>Vulnerability Scan &amp; Pen Test</v>
      </c>
      <c r="B27" s="2" t="str">
        <v/>
      </c>
      <c r="C27" s="2" t="str">
        <v>N</v>
      </c>
      <c r="D27" s="2" t="str">
        <v>Vulnerability Scan &amp; Pen Test</v>
      </c>
      <c r="E27" s="2" t="str">
        <v>TARC</v>
      </c>
      <c r="F27" s="2" t="str">
        <v/>
      </c>
      <c r="G27" s="2" t="str">
        <v>Execute</v>
      </c>
      <c r="H27" s="2" t="str">
        <v>Q28 — security review</v>
      </c>
      <c r="I27" s="2" t="str">
        <v>EXE-11</v>
      </c>
    </row>
    <row r="28">
      <c r="A28" s="2" t="str">
        <v>Cloud Architecture Diagram</v>
      </c>
      <c r="B28" s="2" t="str">
        <v/>
      </c>
      <c r="C28" s="2" t="str">
        <v>N</v>
      </c>
      <c r="D28" s="2" t="str">
        <v>Cloud Architecture Diagram</v>
      </c>
      <c r="E28" s="2" t="str">
        <v>TARC</v>
      </c>
      <c r="F28" s="2" t="str">
        <v/>
      </c>
      <c r="G28" s="2" t="str">
        <v>Plan</v>
      </c>
      <c r="H28" s="2" t="str">
        <v>Q29 — cloud / infra</v>
      </c>
      <c r="I28" s="2" t="str">
        <v/>
      </c>
    </row>
    <row r="29">
      <c r="A29" s="2" t="str">
        <v>Cloud Documentation</v>
      </c>
      <c r="B29" s="2" t="str">
        <v/>
      </c>
      <c r="C29" s="2" t="str">
        <v>N</v>
      </c>
      <c r="D29" s="2" t="str">
        <v>Cloud Documentation</v>
      </c>
      <c r="E29" s="2" t="str">
        <v>TARC</v>
      </c>
      <c r="F29" s="2" t="str">
        <v/>
      </c>
      <c r="G29" s="2" t="str">
        <v>Execute</v>
      </c>
      <c r="H29" s="2" t="str">
        <v>Q29 — cloud / infra</v>
      </c>
      <c r="I29" s="2" t="str">
        <v/>
      </c>
    </row>
    <row r="30">
      <c r="A30" s="2" t="str">
        <v>Cloud Review</v>
      </c>
      <c r="B30" s="2" t="str">
        <v/>
      </c>
      <c r="C30" s="2" t="str">
        <v>N</v>
      </c>
      <c r="D30" s="2" t="str">
        <v>Cloud Review</v>
      </c>
      <c r="E30" s="2" t="str">
        <v>TARC</v>
      </c>
      <c r="F30" s="2" t="str">
        <v/>
      </c>
      <c r="G30" s="2" t="str">
        <v>Execute</v>
      </c>
      <c r="H30" s="2" t="str">
        <v>Q29 — cloud / infra</v>
      </c>
      <c r="I30" s="2" t="str">
        <v>EXE-05</v>
      </c>
    </row>
    <row r="31">
      <c r="A31" s="2" t="str">
        <v>TARC</v>
      </c>
      <c r="B31" s="2" t="str">
        <v/>
      </c>
      <c r="C31" s="2" t="str">
        <v>N</v>
      </c>
      <c r="D31" s="2" t="str">
        <v>TARC</v>
      </c>
      <c r="E31" s="2" t="str">
        <v>TARC</v>
      </c>
      <c r="F31" s="2" t="str">
        <v/>
      </c>
      <c r="G31" s="2" t="str">
        <v>Execute</v>
      </c>
      <c r="H31" s="2" t="str">
        <v>Q29 — cloud / infra</v>
      </c>
      <c r="I31" s="2" t="str">
        <v>EXE-06</v>
      </c>
    </row>
    <row r="32">
      <c r="A32" s="2" t="str">
        <v>Test Strategy</v>
      </c>
      <c r="B32" s="2" t="str">
        <v/>
      </c>
      <c r="C32" s="2" t="str">
        <v>N</v>
      </c>
      <c r="D32" s="2" t="str">
        <v>Test Strategy</v>
      </c>
      <c r="E32" s="2" t="str">
        <v>TARC</v>
      </c>
      <c r="F32" s="2" t="str">
        <v/>
      </c>
      <c r="G32" s="2" t="str">
        <v>Plan</v>
      </c>
      <c r="H32" s="2" t="str">
        <v>Q30 — testing</v>
      </c>
      <c r="I32" s="2" t="str">
        <v/>
      </c>
    </row>
  </sheetData>
  <pageMargins left="0.3" right="0.3" top="0.4" bottom="0.4" header="0.2" footer="0.2"/>
  <ignoredErrors>
    <ignoredError numberStoredAsText="1" sqref="A1:I32"/>
  </ignoredErrors>
</worksheet>
</file>

<file path=xl/worksheets/sheet10.xml><?xml version="1.0" encoding="utf-8"?>
<worksheet xmlns="http://schemas.openxmlformats.org/spreadsheetml/2006/main" xmlns:r="http://schemas.openxmlformats.org/officeDocument/2006/relationships">
  <dimension ref="A1:B89"/>
  <sheetViews>
    <sheetView workbookViewId="0"/>
  </sheetViews>
  <sheetData>
    <row r="1">
      <c r="A1" s="2" t="str">
        <v>tag</v>
      </c>
      <c r="B1" s="2" t="str">
        <v>value</v>
      </c>
    </row>
    <row r="2">
      <c r="A2" s="2" t="str">
        <v>project_name</v>
      </c>
      <c r="B2" s="2" t="str">
        <v>Licenses for GitHub Copilot Pilot</v>
      </c>
    </row>
    <row r="3">
      <c r="A3" s="2" t="str">
        <v>project_level</v>
      </c>
      <c r="B3" s="2" t="str">
        <v>Extended</v>
      </c>
    </row>
    <row r="4">
      <c r="A4" s="2" t="str">
        <v>value_score</v>
      </c>
      <c r="B4" s="2" t="str">
        <v>24</v>
      </c>
    </row>
    <row r="5">
      <c r="A5" s="2" t="str">
        <v>complexity_biz</v>
      </c>
      <c r="B5" s="2" t="str">
        <v>1.89</v>
      </c>
    </row>
    <row r="6">
      <c r="A6" s="2" t="str">
        <v>complexity_tech</v>
      </c>
      <c r="B6" s="2" t="str">
        <v>2.88</v>
      </c>
    </row>
    <row r="7">
      <c r="A7" s="2" t="str">
        <v>complexity_avg</v>
      </c>
      <c r="B7" s="2" t="str">
        <v>2.38</v>
      </c>
    </row>
    <row r="8">
      <c r="A8" s="2" t="str">
        <v>complexity_zone</v>
      </c>
      <c r="B8" s="2" t="str">
        <v>II</v>
      </c>
    </row>
    <row r="9">
      <c r="A9" s="2" t="str">
        <v>criticality</v>
      </c>
      <c r="B9" s="2" t="str">
        <v>Medium</v>
      </c>
    </row>
    <row r="10">
      <c r="A10" s="2" t="str">
        <v>vc_score</v>
      </c>
      <c r="B10" s="2" t="str">
        <v>18</v>
      </c>
    </row>
    <row r="11">
      <c r="A11" s="2" t="str">
        <v>vc_band</v>
      </c>
      <c r="B11" s="2" t="str">
        <v>Mini</v>
      </c>
    </row>
    <row r="12">
      <c r="A12" s="2" t="str">
        <v>artifact_tier</v>
      </c>
      <c r="B12" s="2" t="str">
        <v>1</v>
      </c>
    </row>
    <row r="13">
      <c r="A13" s="2" t="str">
        <v>governance_tier</v>
      </c>
      <c r="B13" s="2" t="str">
        <v>1</v>
      </c>
    </row>
    <row r="14">
      <c r="A14" s="2" t="str">
        <v>size</v>
      </c>
      <c r="B14" s="2" t="str">
        <v>Unsized</v>
      </c>
    </row>
    <row r="15">
      <c r="A15" s="2" t="str">
        <v>edd_next</v>
      </c>
      <c r="B15" s="2" t="str">
        <v>No</v>
      </c>
    </row>
    <row r="16">
      <c r="A16" s="2" t="str">
        <v>pal_applies</v>
      </c>
      <c r="B16" s="2" t="str">
        <v>No</v>
      </c>
    </row>
    <row r="17">
      <c r="A17" s="2" t="str">
        <v>methodology</v>
      </c>
      <c r="B17" s="2" t="str">
        <v>tbd</v>
      </c>
    </row>
    <row r="18">
      <c r="A18" s="2" t="str">
        <v>version</v>
      </c>
      <c r="B18" s="2" t="str">
        <v>v01.09</v>
      </c>
    </row>
    <row r="19">
      <c r="A19" s="2" t="str">
        <v>generated_on</v>
      </c>
      <c r="B19" s="2" t="str">
        <v>2026-07-06</v>
      </c>
    </row>
    <row r="20">
      <c r="A20" s="2" t="str">
        <v>flag_production</v>
      </c>
      <c r="B20" s="2" t="str">
        <v>Y</v>
      </c>
    </row>
    <row r="21">
      <c r="A21" s="2" t="str">
        <v>flag_archnew</v>
      </c>
      <c r="B21" s="2" t="str">
        <v>Y</v>
      </c>
    </row>
    <row r="22">
      <c r="A22" s="2" t="str">
        <v>flag_security</v>
      </c>
      <c r="B22" s="2" t="str">
        <v>Y</v>
      </c>
    </row>
    <row r="23">
      <c r="A23" s="2" t="str">
        <v>flag_cloud</v>
      </c>
      <c r="B23" s="2" t="str">
        <v>Y</v>
      </c>
    </row>
    <row r="24">
      <c r="A24" s="2" t="str">
        <v>ans_sec</v>
      </c>
      <c r="B24" s="2" t="str">
        <v>y</v>
      </c>
    </row>
    <row r="25">
      <c r="A25" s="2" t="str">
        <v>ans_data</v>
      </c>
      <c r="B25" s="2" t="str">
        <v>m</v>
      </c>
    </row>
    <row r="26">
      <c r="A26" s="2" t="str">
        <v>security_fired</v>
      </c>
      <c r="B26" s="2" t="str">
        <v>Y</v>
      </c>
    </row>
    <row r="27">
      <c r="A27" s="2" t="str">
        <v>method</v>
      </c>
      <c r="B27" s="2" t="str">
        <v>Not yet determined</v>
      </c>
    </row>
    <row r="28">
      <c r="A28" s="2" t="str">
        <v>method__v</v>
      </c>
      <c r="B28" s="2" t="str">
        <v>tbd</v>
      </c>
    </row>
    <row r="29">
      <c r="A29" s="2" t="str">
        <v>Q01</v>
      </c>
      <c r="B29" s="2" t="str">
        <v>Not yet determined</v>
      </c>
    </row>
    <row r="30">
      <c r="A30" s="2" t="str">
        <v>phase</v>
      </c>
      <c r="B30" s="2" t="str">
        <v>Concept</v>
      </c>
    </row>
    <row r="31">
      <c r="A31" s="2" t="str">
        <v>phase__v</v>
      </c>
      <c r="B31" s="2" t="str">
        <v>Concept</v>
      </c>
    </row>
    <row r="32">
      <c r="A32" s="2" t="str">
        <v>Q06</v>
      </c>
      <c r="B32" s="2" t="str">
        <v>Concept</v>
      </c>
    </row>
    <row r="33">
      <c r="A33" s="2" t="str">
        <v>benefit</v>
      </c>
      <c r="B33" s="2" t="str">
        <v>Moderate</v>
      </c>
    </row>
    <row r="34">
      <c r="A34" s="2" t="str">
        <v>benefit__v</v>
      </c>
      <c r="B34" s="2" t="str">
        <v>mod</v>
      </c>
    </row>
    <row r="35">
      <c r="A35" s="2" t="str">
        <v>Q07</v>
      </c>
      <c r="B35" s="2" t="str">
        <v>Moderate</v>
      </c>
    </row>
    <row r="36">
      <c r="A36" s="2" t="str">
        <v>mandate</v>
      </c>
      <c r="B36" s="2" t="str">
        <v>No</v>
      </c>
    </row>
    <row r="37">
      <c r="A37" s="2" t="str">
        <v>mandate__v</v>
      </c>
      <c r="B37" s="2" t="str">
        <v>n</v>
      </c>
    </row>
    <row r="38">
      <c r="A38" s="2" t="str">
        <v>Q08</v>
      </c>
      <c r="B38" s="2" t="str">
        <v>No</v>
      </c>
    </row>
    <row r="39">
      <c r="A39" s="2" t="str">
        <v>risk</v>
      </c>
      <c r="B39" s="2" t="str">
        <v>Mostly — key risks managed, some gaps remain</v>
      </c>
    </row>
    <row r="40">
      <c r="A40" s="2" t="str">
        <v>risk__v</v>
      </c>
      <c r="B40" s="2" t="str">
        <v>most</v>
      </c>
    </row>
    <row r="41">
      <c r="A41" s="2" t="str">
        <v>Q09</v>
      </c>
      <c r="B41" s="2" t="str">
        <v>Mostly — key risks managed, some gaps remain</v>
      </c>
    </row>
    <row r="42">
      <c r="A42" s="2" t="str">
        <v>impact</v>
      </c>
      <c r="B42" s="2" t="str">
        <v>One unit or program area</v>
      </c>
    </row>
    <row r="43">
      <c r="A43" s="2" t="str">
        <v>impact__v</v>
      </c>
      <c r="B43" s="2" t="str">
        <v>div</v>
      </c>
    </row>
    <row r="44">
      <c r="A44" s="2" t="str">
        <v>Q10</v>
      </c>
      <c r="B44" s="2" t="str">
        <v>One unit or program area</v>
      </c>
    </row>
    <row r="45">
      <c r="A45" s="2" t="str">
        <v>pmexp</v>
      </c>
      <c r="B45" s="2" t="str">
        <v>Somewhat experienced — adjacent or partial experience; some key roles experienced, some new</v>
      </c>
    </row>
    <row r="46">
      <c r="A46" s="2" t="str">
        <v>pmexp__v</v>
      </c>
      <c r="B46" s="2" t="str">
        <v>sw</v>
      </c>
    </row>
    <row r="47">
      <c r="A47" s="2" t="str">
        <v>Q11</v>
      </c>
      <c r="B47" s="2" t="str">
        <v>Somewhat experienced — adjacent or partial experience; some key roles experienced, some new</v>
      </c>
    </row>
    <row r="48">
      <c r="A48" s="2" t="str">
        <v>funding</v>
      </c>
      <c r="B48" s="2" t="str">
        <v>Identified but not yet secured</v>
      </c>
    </row>
    <row r="49">
      <c r="A49" s="2" t="str">
        <v>funding__v</v>
      </c>
      <c r="B49" s="2" t="str">
        <v>id</v>
      </c>
    </row>
    <row r="50">
      <c r="A50" s="2" t="str">
        <v>Q12</v>
      </c>
      <c r="B50" s="2" t="str">
        <v>Identified but not yet secured</v>
      </c>
    </row>
    <row r="51">
      <c r="A51" s="2" t="str">
        <v>newcap</v>
      </c>
      <c r="B51" s="2" t="str">
        <v>Yes</v>
      </c>
    </row>
    <row r="52">
      <c r="A52" s="2" t="str">
        <v>newcap__v</v>
      </c>
      <c r="B52" s="2" t="str">
        <v>y</v>
      </c>
    </row>
    <row r="53">
      <c r="A53" s="2" t="str">
        <v>Q13</v>
      </c>
      <c r="B53" s="2" t="str">
        <v>Yes</v>
      </c>
    </row>
    <row r="54">
      <c r="A54" s="2" t="str">
        <v>spend</v>
      </c>
      <c r="B54" s="2" t="str">
        <v>Under $250K</v>
      </c>
    </row>
    <row r="55">
      <c r="A55" s="2" t="str">
        <v>spend__v</v>
      </c>
      <c r="B55" s="2" t="str">
        <v>s</v>
      </c>
    </row>
    <row r="56">
      <c r="A56" s="2" t="str">
        <v>Q14</v>
      </c>
      <c r="B56" s="2" t="str">
        <v>Under $250K</v>
      </c>
    </row>
    <row r="57">
      <c r="A57" s="2" t="str">
        <v>coord</v>
      </c>
      <c r="B57" s="2" t="str">
        <v>Several teams or divisions (5–9)</v>
      </c>
    </row>
    <row r="58">
      <c r="A58" s="2" t="str">
        <v>coord__v</v>
      </c>
      <c r="B58" s="2" t="str">
        <v>3</v>
      </c>
    </row>
    <row r="59">
      <c r="A59" s="2" t="str">
        <v>Q17</v>
      </c>
      <c r="B59" s="2" t="str">
        <v>Several teams or divisions (5–9)</v>
      </c>
    </row>
    <row r="60">
      <c r="A60" s="2" t="str">
        <v>vendor</v>
      </c>
      <c r="B60" s="2" t="str">
        <v>No, internal delivery only</v>
      </c>
    </row>
    <row r="61">
      <c r="A61" s="2" t="str">
        <v>vendor__v</v>
      </c>
      <c r="B61" s="2" t="str">
        <v>n</v>
      </c>
    </row>
    <row r="62">
      <c r="A62" s="2" t="str">
        <v>Q18</v>
      </c>
      <c r="B62" s="2" t="str">
        <v>No, internal delivery only</v>
      </c>
    </row>
    <row r="63">
      <c r="A63" s="2" t="str">
        <v>data</v>
      </c>
      <c r="B63" s="2" t="str">
        <v>Not sure</v>
      </c>
    </row>
    <row r="64">
      <c r="A64" s="2" t="str">
        <v>data__v</v>
      </c>
      <c r="B64" s="2" t="str">
        <v>m</v>
      </c>
    </row>
    <row r="65">
      <c r="A65" s="2" t="str">
        <v>Q23</v>
      </c>
      <c r="B65" s="2" t="str">
        <v>Not sure</v>
      </c>
    </row>
    <row r="66">
      <c r="A66" s="2" t="str">
        <v>deps</v>
      </c>
      <c r="B66" s="2" t="str">
        <v>A few dependencies (2–4)</v>
      </c>
    </row>
    <row r="67">
      <c r="A67" s="2" t="str">
        <v>deps__v</v>
      </c>
      <c r="B67" s="2" t="str">
        <v>f</v>
      </c>
    </row>
    <row r="68">
      <c r="A68" s="2" t="str">
        <v>Q24</v>
      </c>
      <c r="B68" s="2" t="str">
        <v>A few dependencies (2–4)</v>
      </c>
    </row>
    <row r="69">
      <c r="A69" s="2" t="str">
        <v>migrate</v>
      </c>
      <c r="B69" s="2" t="str">
        <v>No</v>
      </c>
    </row>
    <row r="70">
      <c r="A70" s="2" t="str">
        <v>migrate__v</v>
      </c>
      <c r="B70" s="2" t="str">
        <v>n</v>
      </c>
    </row>
    <row r="71">
      <c r="A71" s="2" t="str">
        <v>Q25</v>
      </c>
      <c r="B71" s="2" t="str">
        <v>No</v>
      </c>
    </row>
    <row r="72">
      <c r="A72" s="2" t="str">
        <v>novelTech</v>
      </c>
      <c r="B72" s="2" t="str">
        <v>Largely new or unproven</v>
      </c>
    </row>
    <row r="73">
      <c r="A73" s="2" t="str">
        <v>novelTech__v</v>
      </c>
      <c r="B73" s="2" t="str">
        <v>y</v>
      </c>
    </row>
    <row r="74">
      <c r="A74" s="2" t="str">
        <v>Q26</v>
      </c>
      <c r="B74" s="2" t="str">
        <v>Largely new or unproven</v>
      </c>
    </row>
    <row r="75">
      <c r="A75" s="2" t="str">
        <v>novelBiz</v>
      </c>
      <c r="B75" s="2" t="str">
        <v>Some new components</v>
      </c>
    </row>
    <row r="76">
      <c r="A76" s="2" t="str">
        <v>novelBiz__v</v>
      </c>
      <c r="B76" s="2" t="str">
        <v>s</v>
      </c>
    </row>
    <row r="77">
      <c r="A77" s="2" t="str">
        <v>Q27</v>
      </c>
      <c r="B77" s="2" t="str">
        <v>Some new components</v>
      </c>
    </row>
    <row r="78">
      <c r="A78" s="2" t="str">
        <v>sec</v>
      </c>
      <c r="B78" s="2" t="str">
        <v>Yes</v>
      </c>
    </row>
    <row r="79">
      <c r="A79" s="2" t="str">
        <v>sec__v</v>
      </c>
      <c r="B79" s="2" t="str">
        <v>y</v>
      </c>
    </row>
    <row r="80">
      <c r="A80" s="2" t="str">
        <v>Q28</v>
      </c>
      <c r="B80" s="2" t="str">
        <v>Yes</v>
      </c>
    </row>
    <row r="81">
      <c r="A81" s="2" t="str">
        <v>cloud</v>
      </c>
      <c r="B81" s="2" t="str">
        <v>Yes</v>
      </c>
    </row>
    <row r="82">
      <c r="A82" s="2" t="str">
        <v>cloud__v</v>
      </c>
      <c r="B82" s="2" t="str">
        <v>y</v>
      </c>
    </row>
    <row r="83">
      <c r="A83" s="2" t="str">
        <v>Q29</v>
      </c>
      <c r="B83" s="2" t="str">
        <v>Yes</v>
      </c>
    </row>
    <row r="84">
      <c r="A84" s="2" t="str">
        <v>testing</v>
      </c>
      <c r="B84" s="2" t="str">
        <v>In-house QA / project team</v>
      </c>
    </row>
    <row r="85">
      <c r="A85" s="2" t="str">
        <v>testing__v</v>
      </c>
      <c r="B85" s="2" t="str">
        <v>inhouse</v>
      </c>
    </row>
    <row r="86">
      <c r="A86" s="2" t="str">
        <v>Q30</v>
      </c>
      <c r="B86" s="2" t="str">
        <v>In-house QA / project team</v>
      </c>
    </row>
    <row r="87">
      <c r="A87" s="2" t="str">
        <v>support</v>
      </c>
      <c r="B87" s="2" t="str">
        <v>Not yet defined / not applicable</v>
      </c>
    </row>
    <row r="88">
      <c r="A88" s="2" t="str">
        <v>support__v</v>
      </c>
      <c r="B88" s="2" t="str">
        <v>na</v>
      </c>
    </row>
    <row r="89">
      <c r="A89" s="2" t="str">
        <v>Q31</v>
      </c>
      <c r="B89" s="2" t="str">
        <v>Not yet defined / not applicable</v>
      </c>
    </row>
  </sheetData>
  <pageMargins left="0.3" right="0.3" top="0.4" bottom="0.4" header="0.2" footer="0.2"/>
  <ignoredErrors>
    <ignoredError numberStoredAsText="1" sqref="A1:B89"/>
  </ignoredErrors>
</worksheet>
</file>

<file path=xl/worksheets/sheet11.xml><?xml version="1.0" encoding="utf-8"?>
<worksheet xmlns="http://schemas.openxmlformats.org/spreadsheetml/2006/main" xmlns:r="http://schemas.openxmlformats.org/officeDocument/2006/relationships">
  <dimension ref="A1:L40"/>
  <sheetViews>
    <sheetView workbookViewId="0"/>
  </sheetViews>
  <sheetData>
    <row r="1">
      <c r="A1" s="2" t="str">
        <v>template_name</v>
      </c>
      <c r="B1" s="2" t="str">
        <v>loop_name</v>
      </c>
      <c r="C1" s="2" t="str">
        <v>document</v>
      </c>
      <c r="D1" s="2" t="str">
        <v>owner</v>
      </c>
      <c r="E1" s="2" t="str">
        <v>tier</v>
      </c>
      <c r="F1" s="2" t="str">
        <v>timing</v>
      </c>
      <c r="G1" s="2" t="str">
        <v>why</v>
      </c>
      <c r="H1" s="2" t="str">
        <v>risk</v>
      </c>
      <c r="I1" s="2" t="str">
        <v>response</v>
      </c>
      <c r="J1" s="2" t="str">
        <v>milestone</v>
      </c>
      <c r="K1" s="2" t="str">
        <v>phase</v>
      </c>
      <c r="L1" s="2" t="str">
        <v>target_date</v>
      </c>
    </row>
    <row r="2">
      <c r="A2" s="2" t="str">
        <v>EAO Project Engagement Plan</v>
      </c>
      <c r="B2" s="2" t="str">
        <v>documents</v>
      </c>
      <c r="C2" s="2" t="str">
        <v>EAO Project Engagement Plan</v>
      </c>
      <c r="D2" s="2" t="str">
        <v>TARC</v>
      </c>
      <c r="E2" s="2" t="str">
        <v/>
      </c>
      <c r="F2" s="2" t="str">
        <v>Initiate</v>
      </c>
      <c r="G2" s="2" t="str">
        <v>Baseline — every project</v>
      </c>
      <c r="H2" s="2" t="str">
        <v/>
      </c>
      <c r="I2" s="2" t="str">
        <v/>
      </c>
      <c r="J2" s="2" t="str">
        <v/>
      </c>
      <c r="K2" s="2" t="str">
        <v/>
      </c>
      <c r="L2" s="2" t="str">
        <v/>
      </c>
    </row>
    <row r="3">
      <c r="A3" s="2" t="str">
        <v>Stakeholder Register</v>
      </c>
      <c r="B3" s="2" t="str">
        <v>documents</v>
      </c>
      <c r="C3" s="2" t="str">
        <v>Stakeholder Register</v>
      </c>
      <c r="D3" s="2" t="str">
        <v>PMO</v>
      </c>
      <c r="E3" s="2" t="str">
        <v/>
      </c>
      <c r="F3" s="2" t="str">
        <v>Initiate</v>
      </c>
      <c r="G3" s="2" t="str">
        <v>Baseline — every project</v>
      </c>
      <c r="H3" s="2" t="str">
        <v/>
      </c>
      <c r="I3" s="2" t="str">
        <v/>
      </c>
      <c r="J3" s="2" t="str">
        <v/>
      </c>
      <c r="K3" s="2" t="str">
        <v/>
      </c>
      <c r="L3" s="2" t="str">
        <v/>
      </c>
    </row>
    <row r="4">
      <c r="A4" s="2" t="str">
        <v>Engagement Matrix</v>
      </c>
      <c r="B4" s="2" t="str">
        <v>documents</v>
      </c>
      <c r="C4" s="2" t="str">
        <v>Engagement Matrix</v>
      </c>
      <c r="D4" s="2" t="str">
        <v>PMO</v>
      </c>
      <c r="E4" s="2" t="str">
        <v/>
      </c>
      <c r="F4" s="2" t="str">
        <v>Initiate</v>
      </c>
      <c r="G4" s="2" t="str">
        <v>Baseline — every project</v>
      </c>
      <c r="H4" s="2" t="str">
        <v/>
      </c>
      <c r="I4" s="2" t="str">
        <v/>
      </c>
      <c r="J4" s="2" t="str">
        <v/>
      </c>
      <c r="K4" s="2" t="str">
        <v/>
      </c>
      <c r="L4" s="2" t="str">
        <v/>
      </c>
    </row>
    <row r="5">
      <c r="A5" s="2" t="str">
        <v>RACI</v>
      </c>
      <c r="B5" s="2" t="str">
        <v>documents</v>
      </c>
      <c r="C5" s="2" t="str">
        <v>RACI</v>
      </c>
      <c r="D5" s="2" t="str">
        <v>PMO</v>
      </c>
      <c r="E5" s="2" t="str">
        <v/>
      </c>
      <c r="F5" s="2" t="str">
        <v>Initiate</v>
      </c>
      <c r="G5" s="2" t="str">
        <v>Baseline — every project</v>
      </c>
      <c r="H5" s="2" t="str">
        <v/>
      </c>
      <c r="I5" s="2" t="str">
        <v/>
      </c>
      <c r="J5" s="2" t="str">
        <v/>
      </c>
      <c r="K5" s="2" t="str">
        <v/>
      </c>
      <c r="L5" s="2" t="str">
        <v/>
      </c>
    </row>
    <row r="6">
      <c r="A6" s="2" t="str">
        <v>RAID / CRAID Log</v>
      </c>
      <c r="B6" s="2" t="str">
        <v>documents</v>
      </c>
      <c r="C6" s="2" t="str">
        <v>RAID / CRAID Log</v>
      </c>
      <c r="D6" s="2" t="str">
        <v>PMO</v>
      </c>
      <c r="E6" s="2" t="str">
        <v/>
      </c>
      <c r="F6" s="2" t="str">
        <v>Ongoing</v>
      </c>
      <c r="G6" s="2" t="str">
        <v>Baseline — every project</v>
      </c>
      <c r="H6" s="2" t="str">
        <v/>
      </c>
      <c r="I6" s="2" t="str">
        <v/>
      </c>
      <c r="J6" s="2" t="str">
        <v/>
      </c>
      <c r="K6" s="2" t="str">
        <v/>
      </c>
      <c r="L6" s="2" t="str">
        <v/>
      </c>
    </row>
    <row r="7">
      <c r="A7" s="2" t="str">
        <v>Project Schedule</v>
      </c>
      <c r="B7" s="2" t="str">
        <v>documents</v>
      </c>
      <c r="C7" s="2" t="str">
        <v>Project Schedule</v>
      </c>
      <c r="D7" s="2" t="str">
        <v>PMO</v>
      </c>
      <c r="E7" s="2" t="str">
        <v/>
      </c>
      <c r="F7" s="2" t="str">
        <v>Plan</v>
      </c>
      <c r="G7" s="2" t="str">
        <v>Baseline — every project</v>
      </c>
      <c r="H7" s="2" t="str">
        <v/>
      </c>
      <c r="I7" s="2" t="str">
        <v/>
      </c>
      <c r="J7" s="2" t="str">
        <v/>
      </c>
      <c r="K7" s="2" t="str">
        <v/>
      </c>
      <c r="L7" s="2" t="str">
        <v/>
      </c>
    </row>
    <row r="8">
      <c r="A8" s="2" t="str">
        <v>Implementation Plan</v>
      </c>
      <c r="B8" s="2" t="str">
        <v>documents</v>
      </c>
      <c r="C8" s="2" t="str">
        <v>Implementation Plan</v>
      </c>
      <c r="D8" s="2" t="str">
        <v>TARC → Development Team</v>
      </c>
      <c r="E8" s="2" t="str">
        <v/>
      </c>
      <c r="F8" s="2" t="str">
        <v>Execute</v>
      </c>
      <c r="G8" s="2" t="str">
        <v>Baseline — every project</v>
      </c>
      <c r="H8" s="2" t="str">
        <v/>
      </c>
      <c r="I8" s="2" t="str">
        <v/>
      </c>
      <c r="J8" s="2" t="str">
        <v/>
      </c>
      <c r="K8" s="2" t="str">
        <v/>
      </c>
      <c r="L8" s="2" t="str">
        <v/>
      </c>
    </row>
    <row r="9">
      <c r="A9" s="2" t="str">
        <v>Status Reporting</v>
      </c>
      <c r="B9" s="2" t="str">
        <v>documents</v>
      </c>
      <c r="C9" s="2" t="str">
        <v>Status Reporting</v>
      </c>
      <c r="D9" s="2" t="str">
        <v>PMO</v>
      </c>
      <c r="E9" s="2" t="str">
        <v/>
      </c>
      <c r="F9" s="2" t="str">
        <v>Ongoing</v>
      </c>
      <c r="G9" s="2" t="str">
        <v>Baseline — every project</v>
      </c>
      <c r="H9" s="2" t="str">
        <v/>
      </c>
      <c r="I9" s="2" t="str">
        <v/>
      </c>
      <c r="J9" s="2" t="str">
        <v/>
      </c>
      <c r="K9" s="2" t="str">
        <v/>
      </c>
      <c r="L9" s="2" t="str">
        <v/>
      </c>
    </row>
    <row r="10">
      <c r="A10" s="2" t="str">
        <v>Closeout Report</v>
      </c>
      <c r="B10" s="2" t="str">
        <v>documents</v>
      </c>
      <c r="C10" s="2" t="str">
        <v>Closeout Report</v>
      </c>
      <c r="D10" s="2" t="str">
        <v>PMO</v>
      </c>
      <c r="E10" s="2" t="str">
        <v/>
      </c>
      <c r="F10" s="2" t="str">
        <v>Close</v>
      </c>
      <c r="G10" s="2" t="str">
        <v>Baseline — every project</v>
      </c>
      <c r="H10" s="2" t="str">
        <v/>
      </c>
      <c r="I10" s="2" t="str">
        <v/>
      </c>
      <c r="J10" s="2" t="str">
        <v/>
      </c>
      <c r="K10" s="2" t="str">
        <v/>
      </c>
      <c r="L10" s="2" t="str">
        <v/>
      </c>
    </row>
    <row r="11">
      <c r="A11" s="2" t="str">
        <v>Lessons Learned</v>
      </c>
      <c r="B11" s="2" t="str">
        <v>documents</v>
      </c>
      <c r="C11" s="2" t="str">
        <v>Lessons Learned</v>
      </c>
      <c r="D11" s="2" t="str">
        <v>PMO</v>
      </c>
      <c r="E11" s="2" t="str">
        <v/>
      </c>
      <c r="F11" s="2" t="str">
        <v>Close</v>
      </c>
      <c r="G11" s="2" t="str">
        <v>Baseline — every project</v>
      </c>
      <c r="H11" s="2" t="str">
        <v/>
      </c>
      <c r="I11" s="2" t="str">
        <v/>
      </c>
      <c r="J11" s="2" t="str">
        <v/>
      </c>
      <c r="K11" s="2" t="str">
        <v/>
      </c>
      <c r="L11" s="2" t="str">
        <v/>
      </c>
    </row>
    <row r="12">
      <c r="A12" s="2" t="str">
        <v>Delegated Approvals</v>
      </c>
      <c r="B12" s="2" t="str">
        <v>documents</v>
      </c>
      <c r="C12" s="2" t="str">
        <v>Delegated Approvals</v>
      </c>
      <c r="D12" s="2" t="str">
        <v>PMO</v>
      </c>
      <c r="E12" s="2" t="str">
        <v/>
      </c>
      <c r="F12" s="2" t="str">
        <v>Ongoing</v>
      </c>
      <c r="G12" s="2" t="str">
        <v>Baseline — every project</v>
      </c>
      <c r="H12" s="2" t="str">
        <v/>
      </c>
      <c r="I12" s="2" t="str">
        <v/>
      </c>
      <c r="J12" s="2" t="str">
        <v/>
      </c>
      <c r="K12" s="2" t="str">
        <v/>
      </c>
      <c r="L12" s="2" t="str">
        <v/>
      </c>
    </row>
    <row r="13">
      <c r="A13" s="2" t="str">
        <v>Project Charter (Mini)</v>
      </c>
      <c r="B13" s="2" t="str">
        <v>documents</v>
      </c>
      <c r="C13" s="2" t="str">
        <v>Project Charter (Mini)</v>
      </c>
      <c r="D13" s="2" t="str">
        <v>PMO</v>
      </c>
      <c r="E13" s="2" t="str">
        <v/>
      </c>
      <c r="F13" s="2" t="str">
        <v>Initiate</v>
      </c>
      <c r="G13" s="2" t="str">
        <v>Baseline — every project</v>
      </c>
      <c r="H13" s="2" t="str">
        <v/>
      </c>
      <c r="I13" s="2" t="str">
        <v/>
      </c>
      <c r="J13" s="2" t="str">
        <v/>
      </c>
      <c r="K13" s="2" t="str">
        <v/>
      </c>
      <c r="L13" s="2" t="str">
        <v/>
      </c>
    </row>
    <row r="14">
      <c r="A14" s="2" t="str">
        <v>Project Management Plan (Mini)</v>
      </c>
      <c r="B14" s="2" t="str">
        <v>documents</v>
      </c>
      <c r="C14" s="2" t="str">
        <v>Project Management Plan (Mini)</v>
      </c>
      <c r="D14" s="2" t="str">
        <v>PMO</v>
      </c>
      <c r="E14" s="2" t="str">
        <v/>
      </c>
      <c r="F14" s="2" t="str">
        <v>Plan</v>
      </c>
      <c r="G14" s="2" t="str">
        <v>Baseline — every project</v>
      </c>
      <c r="H14" s="2" t="str">
        <v/>
      </c>
      <c r="I14" s="2" t="str">
        <v/>
      </c>
      <c r="J14" s="2" t="str">
        <v/>
      </c>
      <c r="K14" s="2" t="str">
        <v/>
      </c>
      <c r="L14" s="2" t="str">
        <v/>
      </c>
    </row>
    <row r="15">
      <c r="A15" s="2" t="str">
        <v>Requirements Documentation</v>
      </c>
      <c r="B15" s="2" t="str">
        <v>documents</v>
      </c>
      <c r="C15" s="2" t="str">
        <v>Requirements Documentation</v>
      </c>
      <c r="D15" s="2" t="str">
        <v>PMO</v>
      </c>
      <c r="E15" s="2" t="str">
        <v/>
      </c>
      <c r="F15" s="2" t="str">
        <v>Plan</v>
      </c>
      <c r="G15" s="2" t="str">
        <v>Q1 (delivery approach: predictive)</v>
      </c>
      <c r="H15" s="2" t="str">
        <v/>
      </c>
      <c r="I15" s="2" t="str">
        <v/>
      </c>
      <c r="J15" s="2" t="str">
        <v/>
      </c>
      <c r="K15" s="2" t="str">
        <v/>
      </c>
      <c r="L15" s="2" t="str">
        <v/>
      </c>
    </row>
    <row r="16">
      <c r="A16" s="2" t="str">
        <v>Test Plan &amp; Test Cases</v>
      </c>
      <c r="B16" s="2" t="str">
        <v>documents</v>
      </c>
      <c r="C16" s="2" t="str">
        <v>Test Plan &amp; Test Cases</v>
      </c>
      <c r="D16" s="2" t="str">
        <v>PMO</v>
      </c>
      <c r="E16" s="2" t="str">
        <v/>
      </c>
      <c r="F16" s="2" t="str">
        <v>Plan</v>
      </c>
      <c r="G16" s="2" t="str">
        <v>Q1 (delivery approach: predictive)</v>
      </c>
      <c r="H16" s="2" t="str">
        <v/>
      </c>
      <c r="I16" s="2" t="str">
        <v/>
      </c>
      <c r="J16" s="2" t="str">
        <v/>
      </c>
      <c r="K16" s="2" t="str">
        <v/>
      </c>
      <c r="L16" s="2" t="str">
        <v/>
      </c>
    </row>
    <row r="17">
      <c r="A17" s="2" t="str">
        <v>Training Plan</v>
      </c>
      <c r="B17" s="2" t="str">
        <v>documents</v>
      </c>
      <c r="C17" s="2" t="str">
        <v>Training Plan</v>
      </c>
      <c r="D17" s="2" t="str">
        <v>PMO</v>
      </c>
      <c r="E17" s="2" t="str">
        <v/>
      </c>
      <c r="F17" s="2" t="str">
        <v>Plan</v>
      </c>
      <c r="G17" s="2" t="str">
        <v>Q1 (delivery approach: predictive)</v>
      </c>
      <c r="H17" s="2" t="str">
        <v/>
      </c>
      <c r="I17" s="2" t="str">
        <v/>
      </c>
      <c r="J17" s="2" t="str">
        <v/>
      </c>
      <c r="K17" s="2" t="str">
        <v/>
      </c>
      <c r="L17" s="2" t="str">
        <v/>
      </c>
    </row>
    <row r="18">
      <c r="A18" s="2" t="str">
        <v>Transition Plan</v>
      </c>
      <c r="B18" s="2" t="str">
        <v>documents</v>
      </c>
      <c r="C18" s="2" t="str">
        <v>Transition Plan</v>
      </c>
      <c r="D18" s="2" t="str">
        <v>PMO</v>
      </c>
      <c r="E18" s="2" t="str">
        <v/>
      </c>
      <c r="F18" s="2" t="str">
        <v>Plan</v>
      </c>
      <c r="G18" s="2" t="str">
        <v>Q1 (delivery approach: predictive)</v>
      </c>
      <c r="H18" s="2" t="str">
        <v/>
      </c>
      <c r="I18" s="2" t="str">
        <v/>
      </c>
      <c r="J18" s="2" t="str">
        <v/>
      </c>
      <c r="K18" s="2" t="str">
        <v/>
      </c>
      <c r="L18" s="2" t="str">
        <v/>
      </c>
    </row>
    <row r="19">
      <c r="A19" s="2" t="str">
        <v>Requirements Traceability Matrix</v>
      </c>
      <c r="B19" s="2" t="str">
        <v>documents</v>
      </c>
      <c r="C19" s="2" t="str">
        <v>Requirements Traceability Matrix</v>
      </c>
      <c r="D19" s="2" t="str">
        <v>PMO</v>
      </c>
      <c r="E19" s="2" t="str">
        <v/>
      </c>
      <c r="F19" s="2" t="str">
        <v>Plan</v>
      </c>
      <c r="G19" s="2" t="str">
        <v>Q1 (delivery approach: predictive)</v>
      </c>
      <c r="H19" s="2" t="str">
        <v/>
      </c>
      <c r="I19" s="2" t="str">
        <v/>
      </c>
      <c r="J19" s="2" t="str">
        <v/>
      </c>
      <c r="K19" s="2" t="str">
        <v/>
      </c>
      <c r="L19" s="2" t="str">
        <v/>
      </c>
    </row>
    <row r="20">
      <c r="A20" s="2" t="str">
        <v>Rollback Plan</v>
      </c>
      <c r="B20" s="2" t="str">
        <v>documents</v>
      </c>
      <c r="C20" s="2" t="str">
        <v>Rollback Plan</v>
      </c>
      <c r="D20" s="2" t="str">
        <v>TARC → Development Team</v>
      </c>
      <c r="E20" s="2" t="str">
        <v/>
      </c>
      <c r="F20" s="2" t="str">
        <v>Execute</v>
      </c>
      <c r="G20" s="2" t="str">
        <v>Q13 — new service</v>
      </c>
      <c r="H20" s="2" t="str">
        <v/>
      </c>
      <c r="I20" s="2" t="str">
        <v/>
      </c>
      <c r="J20" s="2" t="str">
        <v/>
      </c>
      <c r="K20" s="2" t="str">
        <v/>
      </c>
      <c r="L20" s="2" t="str">
        <v/>
      </c>
    </row>
    <row r="21">
      <c r="A21" s="2" t="str">
        <v>RFC / RRB</v>
      </c>
      <c r="B21" s="2" t="str">
        <v>documents</v>
      </c>
      <c r="C21" s="2" t="str">
        <v>RFC / RRB</v>
      </c>
      <c r="D21" s="2" t="str">
        <v>TARC → Development Team</v>
      </c>
      <c r="E21" s="2" t="str">
        <v/>
      </c>
      <c r="F21" s="2" t="str">
        <v>Execute</v>
      </c>
      <c r="G21" s="2" t="str">
        <v>Q13 — new service</v>
      </c>
      <c r="H21" s="2" t="str">
        <v/>
      </c>
      <c r="I21" s="2" t="str">
        <v/>
      </c>
      <c r="J21" s="2" t="str">
        <v/>
      </c>
      <c r="K21" s="2" t="str">
        <v/>
      </c>
      <c r="L21" s="2" t="str">
        <v/>
      </c>
    </row>
    <row r="22">
      <c r="A22" s="2" t="str">
        <v>RRR Checklist</v>
      </c>
      <c r="B22" s="2" t="str">
        <v>documents</v>
      </c>
      <c r="C22" s="2" t="str">
        <v>RRR Checklist</v>
      </c>
      <c r="D22" s="2" t="str">
        <v>TARC → Development Team</v>
      </c>
      <c r="E22" s="2" t="str">
        <v/>
      </c>
      <c r="F22" s="2" t="str">
        <v>Execute</v>
      </c>
      <c r="G22" s="2" t="str">
        <v>Q13 — new service</v>
      </c>
      <c r="H22" s="2" t="str">
        <v/>
      </c>
      <c r="I22" s="2" t="str">
        <v/>
      </c>
      <c r="J22" s="2" t="str">
        <v/>
      </c>
      <c r="K22" s="2" t="str">
        <v/>
      </c>
      <c r="L22" s="2" t="str">
        <v/>
      </c>
    </row>
    <row r="23">
      <c r="A23" s="2" t="str">
        <v>Hypercare / Production Readiness</v>
      </c>
      <c r="B23" s="2" t="str">
        <v>documents</v>
      </c>
      <c r="C23" s="2" t="str">
        <v>Hypercare / Production Readiness</v>
      </c>
      <c r="D23" s="2" t="str">
        <v>TARC</v>
      </c>
      <c r="E23" s="2" t="str">
        <v/>
      </c>
      <c r="F23" s="2" t="str">
        <v>Execute</v>
      </c>
      <c r="G23" s="2" t="str">
        <v>Q13 — new service</v>
      </c>
      <c r="H23" s="2" t="str">
        <v/>
      </c>
      <c r="I23" s="2" t="str">
        <v/>
      </c>
      <c r="J23" s="2" t="str">
        <v/>
      </c>
      <c r="K23" s="2" t="str">
        <v/>
      </c>
      <c r="L23" s="2" t="str">
        <v/>
      </c>
    </row>
    <row r="24">
      <c r="A24" s="2" t="str">
        <v>C&amp;A Package</v>
      </c>
      <c r="B24" s="2" t="str">
        <v>documents</v>
      </c>
      <c r="C24" s="2" t="str">
        <v>C&amp;A Package</v>
      </c>
      <c r="D24" s="2" t="str">
        <v>TARC</v>
      </c>
      <c r="E24" s="2" t="str">
        <v/>
      </c>
      <c r="F24" s="2" t="str">
        <v>Execute</v>
      </c>
      <c r="G24" s="2" t="str">
        <v>Q28 — security review</v>
      </c>
      <c r="H24" s="2" t="str">
        <v/>
      </c>
      <c r="I24" s="2" t="str">
        <v/>
      </c>
      <c r="J24" s="2" t="str">
        <v/>
      </c>
      <c r="K24" s="2" t="str">
        <v/>
      </c>
      <c r="L24" s="2" t="str">
        <v/>
      </c>
    </row>
    <row r="25">
      <c r="A25" s="2" t="str">
        <v>ISRP</v>
      </c>
      <c r="B25" s="2" t="str">
        <v>documents</v>
      </c>
      <c r="C25" s="2" t="str">
        <v>ISRP</v>
      </c>
      <c r="D25" s="2" t="str">
        <v>TARC</v>
      </c>
      <c r="E25" s="2" t="str">
        <v/>
      </c>
      <c r="F25" s="2" t="str">
        <v>Execute</v>
      </c>
      <c r="G25" s="2" t="str">
        <v>Q28 — security review</v>
      </c>
      <c r="H25" s="2" t="str">
        <v/>
      </c>
      <c r="I25" s="2" t="str">
        <v/>
      </c>
      <c r="J25" s="2" t="str">
        <v/>
      </c>
      <c r="K25" s="2" t="str">
        <v/>
      </c>
      <c r="L25" s="2" t="str">
        <v/>
      </c>
    </row>
    <row r="26">
      <c r="A26" s="2" t="str">
        <v>SIEM / Logging Kickoff</v>
      </c>
      <c r="B26" s="2" t="str">
        <v>documents</v>
      </c>
      <c r="C26" s="2" t="str">
        <v>SIEM / Logging Kickoff</v>
      </c>
      <c r="D26" s="2" t="str">
        <v>TARC</v>
      </c>
      <c r="E26" s="2" t="str">
        <v/>
      </c>
      <c r="F26" s="2" t="str">
        <v>Execute</v>
      </c>
      <c r="G26" s="2" t="str">
        <v>Q28 — security review</v>
      </c>
      <c r="H26" s="2" t="str">
        <v/>
      </c>
      <c r="I26" s="2" t="str">
        <v/>
      </c>
      <c r="J26" s="2" t="str">
        <v/>
      </c>
      <c r="K26" s="2" t="str">
        <v/>
      </c>
      <c r="L26" s="2" t="str">
        <v/>
      </c>
    </row>
    <row r="27">
      <c r="A27" s="2" t="str">
        <v>Vulnerability Scan &amp; Pen Test</v>
      </c>
      <c r="B27" s="2" t="str">
        <v>documents</v>
      </c>
      <c r="C27" s="2" t="str">
        <v>Vulnerability Scan &amp; Pen Test</v>
      </c>
      <c r="D27" s="2" t="str">
        <v>TARC</v>
      </c>
      <c r="E27" s="2" t="str">
        <v/>
      </c>
      <c r="F27" s="2" t="str">
        <v>Execute</v>
      </c>
      <c r="G27" s="2" t="str">
        <v>Q28 — security review</v>
      </c>
      <c r="H27" s="2" t="str">
        <v/>
      </c>
      <c r="I27" s="2" t="str">
        <v/>
      </c>
      <c r="J27" s="2" t="str">
        <v/>
      </c>
      <c r="K27" s="2" t="str">
        <v/>
      </c>
      <c r="L27" s="2" t="str">
        <v/>
      </c>
    </row>
    <row r="28">
      <c r="A28" s="2" t="str">
        <v>Cloud Architecture Diagram</v>
      </c>
      <c r="B28" s="2" t="str">
        <v>documents</v>
      </c>
      <c r="C28" s="2" t="str">
        <v>Cloud Architecture Diagram</v>
      </c>
      <c r="D28" s="2" t="str">
        <v>TARC</v>
      </c>
      <c r="E28" s="2" t="str">
        <v/>
      </c>
      <c r="F28" s="2" t="str">
        <v>Plan</v>
      </c>
      <c r="G28" s="2" t="str">
        <v>Q29 — cloud / infra</v>
      </c>
      <c r="H28" s="2" t="str">
        <v/>
      </c>
      <c r="I28" s="2" t="str">
        <v/>
      </c>
      <c r="J28" s="2" t="str">
        <v/>
      </c>
      <c r="K28" s="2" t="str">
        <v/>
      </c>
      <c r="L28" s="2" t="str">
        <v/>
      </c>
    </row>
    <row r="29">
      <c r="A29" s="2" t="str">
        <v>Cloud Documentation</v>
      </c>
      <c r="B29" s="2" t="str">
        <v>documents</v>
      </c>
      <c r="C29" s="2" t="str">
        <v>Cloud Documentation</v>
      </c>
      <c r="D29" s="2" t="str">
        <v>TARC</v>
      </c>
      <c r="E29" s="2" t="str">
        <v/>
      </c>
      <c r="F29" s="2" t="str">
        <v>Execute</v>
      </c>
      <c r="G29" s="2" t="str">
        <v>Q29 — cloud / infra</v>
      </c>
      <c r="H29" s="2" t="str">
        <v/>
      </c>
      <c r="I29" s="2" t="str">
        <v/>
      </c>
      <c r="J29" s="2" t="str">
        <v/>
      </c>
      <c r="K29" s="2" t="str">
        <v/>
      </c>
      <c r="L29" s="2" t="str">
        <v/>
      </c>
    </row>
    <row r="30">
      <c r="A30" s="2" t="str">
        <v>Cloud Review</v>
      </c>
      <c r="B30" s="2" t="str">
        <v>documents</v>
      </c>
      <c r="C30" s="2" t="str">
        <v>Cloud Review</v>
      </c>
      <c r="D30" s="2" t="str">
        <v>TARC</v>
      </c>
      <c r="E30" s="2" t="str">
        <v/>
      </c>
      <c r="F30" s="2" t="str">
        <v>Execute</v>
      </c>
      <c r="G30" s="2" t="str">
        <v>Q29 — cloud / infra</v>
      </c>
      <c r="H30" s="2" t="str">
        <v/>
      </c>
      <c r="I30" s="2" t="str">
        <v/>
      </c>
      <c r="J30" s="2" t="str">
        <v/>
      </c>
      <c r="K30" s="2" t="str">
        <v/>
      </c>
      <c r="L30" s="2" t="str">
        <v/>
      </c>
    </row>
    <row r="31">
      <c r="A31" s="2" t="str">
        <v>TARC</v>
      </c>
      <c r="B31" s="2" t="str">
        <v>documents</v>
      </c>
      <c r="C31" s="2" t="str">
        <v>TARC</v>
      </c>
      <c r="D31" s="2" t="str">
        <v>TARC</v>
      </c>
      <c r="E31" s="2" t="str">
        <v/>
      </c>
      <c r="F31" s="2" t="str">
        <v>Execute</v>
      </c>
      <c r="G31" s="2" t="str">
        <v>Q29 — cloud / infra</v>
      </c>
      <c r="H31" s="2" t="str">
        <v/>
      </c>
      <c r="I31" s="2" t="str">
        <v/>
      </c>
      <c r="J31" s="2" t="str">
        <v/>
      </c>
      <c r="K31" s="2" t="str">
        <v/>
      </c>
      <c r="L31" s="2" t="str">
        <v/>
      </c>
    </row>
    <row r="32">
      <c r="A32" s="2" t="str">
        <v>Test Strategy</v>
      </c>
      <c r="B32" s="2" t="str">
        <v>documents</v>
      </c>
      <c r="C32" s="2" t="str">
        <v>Test Strategy</v>
      </c>
      <c r="D32" s="2" t="str">
        <v>TARC</v>
      </c>
      <c r="E32" s="2" t="str">
        <v/>
      </c>
      <c r="F32" s="2" t="str">
        <v>Plan</v>
      </c>
      <c r="G32" s="2" t="str">
        <v>Q30 — testing</v>
      </c>
      <c r="H32" s="2" t="str">
        <v/>
      </c>
      <c r="I32" s="2" t="str">
        <v/>
      </c>
      <c r="J32" s="2" t="str">
        <v/>
      </c>
      <c r="K32" s="2" t="str">
        <v/>
      </c>
      <c r="L32" s="2" t="str">
        <v/>
      </c>
    </row>
    <row r="33">
      <c r="A33" s="2" t="str">
        <v>Project Charter</v>
      </c>
      <c r="B33" s="2" t="str">
        <v>risks</v>
      </c>
      <c r="C33" s="2" t="str">
        <v/>
      </c>
      <c r="D33" s="2" t="str">
        <v/>
      </c>
      <c r="E33" s="2" t="str">
        <v/>
      </c>
      <c r="F33" s="2" t="str">
        <v/>
      </c>
      <c r="G33" s="2" t="str">
        <v/>
      </c>
      <c r="H33" s="2" t="str">
        <v>[REVIEW] New or changed production service introduces deployment and stability risk.</v>
      </c>
      <c r="I33" s="2" t="str">
        <v>Plan staged rollout, defined rollback, and production-readiness review (RRR) before go-live.</v>
      </c>
      <c r="J33" s="2" t="str">
        <v/>
      </c>
      <c r="K33" s="2" t="str">
        <v/>
      </c>
      <c r="L33" s="2" t="str">
        <v/>
      </c>
    </row>
    <row r="34">
      <c r="A34" s="2" t="str">
        <v>Project Charter</v>
      </c>
      <c r="B34" s="2" t="str">
        <v>risks</v>
      </c>
      <c r="C34" s="2" t="str">
        <v/>
      </c>
      <c r="D34" s="2" t="str">
        <v/>
      </c>
      <c r="E34" s="2" t="str">
        <v/>
      </c>
      <c r="F34" s="2" t="str">
        <v/>
      </c>
      <c r="G34" s="2" t="str">
        <v/>
      </c>
      <c r="H34" s="2" t="str">
        <v>[REVIEW] Security review required — potential vulnerabilities or compliance gaps.</v>
      </c>
      <c r="I34" s="2" t="str">
        <v>Engage Cyber Security for assessment; remediate findings before each gate.</v>
      </c>
      <c r="J34" s="2" t="str">
        <v/>
      </c>
      <c r="K34" s="2" t="str">
        <v/>
      </c>
      <c r="L34" s="2" t="str">
        <v/>
      </c>
    </row>
    <row r="35">
      <c r="A35" s="2" t="str">
        <v>Project Charter</v>
      </c>
      <c r="B35" s="2" t="str">
        <v>risks</v>
      </c>
      <c r="C35" s="2" t="str">
        <v/>
      </c>
      <c r="D35" s="2" t="str">
        <v/>
      </c>
      <c r="E35" s="2" t="str">
        <v/>
      </c>
      <c r="F35" s="2" t="str">
        <v/>
      </c>
      <c r="G35" s="2" t="str">
        <v/>
      </c>
      <c r="H35" s="2" t="str">
        <v>[REVIEW] Cloud / infrastructure dependency introduces availability and configuration risk.</v>
      </c>
      <c r="I35" s="2" t="str">
        <v>Confirm Infrastructure Services capacity, IAM, and DR posture during planning.</v>
      </c>
      <c r="J35" s="2" t="str">
        <v/>
      </c>
      <c r="K35" s="2" t="str">
        <v/>
      </c>
      <c r="L35" s="2" t="str">
        <v/>
      </c>
    </row>
    <row r="36">
      <c r="A36" s="2" t="str">
        <v>Project Charter</v>
      </c>
      <c r="B36" s="2" t="str">
        <v>milestones</v>
      </c>
      <c r="C36" s="2" t="str">
        <v/>
      </c>
      <c r="D36" s="2" t="str">
        <v/>
      </c>
      <c r="E36" s="2" t="str">
        <v/>
      </c>
      <c r="F36" s="2" t="str">
        <v/>
      </c>
      <c r="G36" s="2" t="str">
        <v/>
      </c>
      <c r="H36" s="2" t="str">
        <v/>
      </c>
      <c r="I36" s="2" t="str">
        <v/>
      </c>
      <c r="J36" s="2" t="str">
        <v>[REVIEW] Concept phase complete</v>
      </c>
      <c r="K36" s="2" t="str">
        <v>Concept</v>
      </c>
      <c r="L36" s="2" t="str">
        <v/>
      </c>
    </row>
    <row r="37">
      <c r="A37" s="2" t="str">
        <v>Project Charter</v>
      </c>
      <c r="B37" s="2" t="str">
        <v>milestones</v>
      </c>
      <c r="C37" s="2" t="str">
        <v/>
      </c>
      <c r="D37" s="2" t="str">
        <v/>
      </c>
      <c r="E37" s="2" t="str">
        <v/>
      </c>
      <c r="F37" s="2" t="str">
        <v/>
      </c>
      <c r="G37" s="2" t="str">
        <v/>
      </c>
      <c r="H37" s="2" t="str">
        <v/>
      </c>
      <c r="I37" s="2" t="str">
        <v/>
      </c>
      <c r="J37" s="2" t="str">
        <v>[REVIEW] Initiate phase complete</v>
      </c>
      <c r="K37" s="2" t="str">
        <v>Initiate</v>
      </c>
      <c r="L37" s="2" t="str">
        <v/>
      </c>
    </row>
    <row r="38">
      <c r="A38" s="2" t="str">
        <v>Project Charter</v>
      </c>
      <c r="B38" s="2" t="str">
        <v>milestones</v>
      </c>
      <c r="C38" s="2" t="str">
        <v/>
      </c>
      <c r="D38" s="2" t="str">
        <v/>
      </c>
      <c r="E38" s="2" t="str">
        <v/>
      </c>
      <c r="F38" s="2" t="str">
        <v/>
      </c>
      <c r="G38" s="2" t="str">
        <v/>
      </c>
      <c r="H38" s="2" t="str">
        <v/>
      </c>
      <c r="I38" s="2" t="str">
        <v/>
      </c>
      <c r="J38" s="2" t="str">
        <v>[REVIEW] Plan phase complete</v>
      </c>
      <c r="K38" s="2" t="str">
        <v>Plan</v>
      </c>
      <c r="L38" s="2" t="str">
        <v/>
      </c>
    </row>
    <row r="39">
      <c r="A39" s="2" t="str">
        <v>Project Charter</v>
      </c>
      <c r="B39" s="2" t="str">
        <v>milestones</v>
      </c>
      <c r="C39" s="2" t="str">
        <v/>
      </c>
      <c r="D39" s="2" t="str">
        <v/>
      </c>
      <c r="E39" s="2" t="str">
        <v/>
      </c>
      <c r="F39" s="2" t="str">
        <v/>
      </c>
      <c r="G39" s="2" t="str">
        <v/>
      </c>
      <c r="H39" s="2" t="str">
        <v/>
      </c>
      <c r="I39" s="2" t="str">
        <v/>
      </c>
      <c r="J39" s="2" t="str">
        <v>[REVIEW] Execute phase complete</v>
      </c>
      <c r="K39" s="2" t="str">
        <v>Execute</v>
      </c>
      <c r="L39" s="2" t="str">
        <v/>
      </c>
    </row>
    <row r="40">
      <c r="A40" s="2" t="str">
        <v>Project Charter</v>
      </c>
      <c r="B40" s="2" t="str">
        <v>milestones</v>
      </c>
      <c r="C40" s="2" t="str">
        <v/>
      </c>
      <c r="D40" s="2" t="str">
        <v/>
      </c>
      <c r="E40" s="2" t="str">
        <v/>
      </c>
      <c r="F40" s="2" t="str">
        <v/>
      </c>
      <c r="G40" s="2" t="str">
        <v/>
      </c>
      <c r="H40" s="2" t="str">
        <v/>
      </c>
      <c r="I40" s="2" t="str">
        <v/>
      </c>
      <c r="J40" s="2" t="str">
        <v>[REVIEW] Close phase complete</v>
      </c>
      <c r="K40" s="2" t="str">
        <v>Close</v>
      </c>
      <c r="L40" s="2" t="str">
        <v/>
      </c>
    </row>
  </sheetData>
  <pageMargins left="0.3" right="0.3" top="0.4" bottom="0.4" header="0.2" footer="0.2"/>
  <ignoredErrors>
    <ignoredError numberStoredAsText="1" sqref="A1:L40"/>
  </ignoredErrors>
</worksheet>
</file>

<file path=xl/worksheets/sheet12.xml><?xml version="1.0" encoding="utf-8"?>
<worksheet xmlns="http://schemas.openxmlformats.org/spreadsheetml/2006/main" xmlns:r="http://schemas.openxmlformats.org/officeDocument/2006/relationships">
  <dimension ref="A1:F5"/>
  <sheetViews>
    <sheetView workbookViewId="0"/>
  </sheetViews>
  <sheetData>
    <row r="1">
      <c r="A1" s="2" t="str">
        <v>contradiction_id</v>
      </c>
      <c r="B1" s="2" t="str">
        <v>severity</v>
      </c>
      <c r="C1" s="2" t="str">
        <v>fired</v>
      </c>
      <c r="D1" s="2" t="str">
        <v>acknowledged</v>
      </c>
      <c r="E1" s="2" t="str">
        <v>ack_initials</v>
      </c>
      <c r="F1" s="2" t="str">
        <v>message</v>
      </c>
    </row>
    <row r="2">
      <c r="A2" s="2" t="str">
        <v>C1</v>
      </c>
      <c r="B2" s="2" t="str">
        <v>hard</v>
      </c>
      <c r="C2" s="2" t="str">
        <v>N</v>
      </c>
      <c r="D2" s="2" t="str">
        <v>N</v>
      </c>
      <c r="E2" s="2" t="str">
        <v/>
      </c>
      <c r="F2" s="2" t="str">
        <v>Intake marks protected/regulated data but answers No to security review. Protected data almost always entails access-control and review work — confirm this combination is intentional.</v>
      </c>
    </row>
    <row r="3">
      <c r="A3" s="2" t="str">
        <v>C2</v>
      </c>
      <c r="B3" s="2" t="str">
        <v>soft</v>
      </c>
      <c r="C3" s="2" t="str">
        <v>N</v>
      </c>
      <c r="D3" s="2" t="str">
        <v>N</v>
      </c>
      <c r="E3" s="2" t="str">
        <v/>
      </c>
      <c r="F3" s="2" t="str">
        <v>Protected data is marked Yes while the security-review question is unresolved. Resolve the security answer before baselining.</v>
      </c>
    </row>
    <row r="4">
      <c r="A4" s="2" t="str">
        <v>C3</v>
      </c>
      <c r="B4" s="2" t="str">
        <v>soft</v>
      </c>
      <c r="C4" s="2" t="str">
        <v>N</v>
      </c>
      <c r="D4" s="2" t="str">
        <v>N</v>
      </c>
      <c r="E4" s="2" t="str">
        <v/>
      </c>
      <c r="F4" s="2" t="str">
        <v>Cloud/hosting/infrastructure changes with No security review is unusual — confirm with CSD guidance in mind.</v>
      </c>
    </row>
    <row r="5">
      <c r="A5" s="2" t="str">
        <v>C4</v>
      </c>
      <c r="B5" s="2" t="str">
        <v>soft</v>
      </c>
      <c r="C5" s="2" t="str">
        <v>N</v>
      </c>
      <c r="D5" s="2" t="str">
        <v>N</v>
      </c>
      <c r="E5" s="2" t="str">
        <v/>
      </c>
      <c r="F5" s="2" t="str">
        <v>Large-scale data migration with no protected data — confirm the data classification is right.</v>
      </c>
    </row>
  </sheetData>
  <pageMargins left="0.3" right="0.3" top="0.4" bottom="0.4" header="0.2" footer="0.2"/>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Profile</vt:lpstr>
      <vt:lpstr>Intake Answers</vt:lpstr>
      <vt:lpstr>SIMM Complexity</vt:lpstr>
      <vt:lpstr>Documents</vt:lpstr>
      <vt:lpstr>Maps</vt:lpstr>
      <vt:lpstr>Engagement Matrix</vt:lpstr>
      <vt:lpstr>Glossary</vt:lpstr>
      <vt:lpstr>CA-PMF Templates</vt:lpstr>
      <vt:lpstr>Templates</vt:lpstr>
      <vt:lpstr>Fields</vt:lpstr>
      <vt:lpstr>Loops</vt:lpstr>
      <vt:lpstr>Contradictions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