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efensible Tiering" sheetId="2" state="visible" r:id="rId4"/>
    <sheet name="Scoring Rules" sheetId="3"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<sst xmlns="http://schemas.openxmlformats.org/spreadsheetml/2006/main" count="676" uniqueCount="339">
  <si>
    <t xml:space="preserve">ESPMO Portfolio Intake — Defensible Guessed Tier Split v01.3</t>
  </si>
  <si>
    <t xml:space="preserve">Scoring basis (Profiler-faithful): VC = round(Total Value − (avg(business, technical complexity) × 2.5)). Full if VC ≥ 80. Mini if Value &lt; 60 AND avg complexity &lt; 2.5. Otherwise Standard.</t>
  </si>
  <si>
    <t xml:space="preserve">Tier</t>
  </si>
  <si>
    <t xml:space="preserve">Count</t>
  </si>
  <si>
    <t xml:space="preserve">Share of Active</t>
  </si>
  <si>
    <t xml:space="preserve">Governance interpretation</t>
  </si>
  <si>
    <t xml:space="preserve">Mini</t>
  </si>
  <si>
    <t xml:space="preserve">Lightweight / mini governance: only allowed when value is below 60 and complexity is 2.5 or lower.</t>
  </si>
  <si>
    <t xml:space="preserve">Standard</t>
  </si>
  <si>
    <t xml:space="preserve">Standard governance: not Full, and either value is 60+ or complexity is above the Mini gate.</t>
  </si>
  <si>
    <t xml:space="preserve">Full</t>
  </si>
  <si>
    <t xml:space="preserve">Full governance plan required: estimated VC score is greater than 79.</t>
  </si>
  <si>
    <t xml:space="preserve">Not Tiered</t>
  </si>
  <si>
    <t xml:space="preserve">Cancelled / inactive / excluded from active tier split.</t>
  </si>
  <si>
    <t xml:space="preserve">Active total</t>
  </si>
  <si>
    <t xml:space="preserve">Total rows minus Not Tiered.</t>
  </si>
  <si>
    <t xml:space="preserve">Portfolio rows</t>
  </si>
  <si>
    <t xml:space="preserve">All rows in the uploaded intake index.</t>
  </si>
  <si>
    <t xml:space="preserve">Rule Guardrail</t>
  </si>
  <si>
    <t xml:space="preserve">Result</t>
  </si>
  <si>
    <t xml:space="preserve">Pass target</t>
  </si>
  <si>
    <t xml:space="preserve">Mini rows with Value ≥ 60</t>
  </si>
  <si>
    <t xml:space="preserve">0</t>
  </si>
  <si>
    <t xml:space="preserve">Mini rows with Complexity &gt; 2.5</t>
  </si>
  <si>
    <t xml:space="preserve">Full rows with VC &lt; 80</t>
  </si>
  <si>
    <t xml:space="preserve">Priority</t>
  </si>
  <si>
    <t xml:space="preserve">Project Name</t>
  </si>
  <si>
    <t xml:space="preserve">Project Manager</t>
  </si>
  <si>
    <t xml:space="preserve">Score Status</t>
  </si>
  <si>
    <t xml:space="preserve">Estimated Value</t>
  </si>
  <si>
    <t xml:space="preserve">Why Value Score</t>
  </si>
  <si>
    <t xml:space="preserve">Estimated Avg Complexity</t>
  </si>
  <si>
    <t xml:space="preserve">Why Complexity Score</t>
  </si>
  <si>
    <t xml:space="preserve">Estimated VC</t>
  </si>
  <si>
    <t xml:space="preserve">Guessed Tier</t>
  </si>
  <si>
    <t xml:space="preserve">Tier Rule / Why</t>
  </si>
  <si>
    <t xml:space="preserve">Confidence</t>
  </si>
  <si>
    <t xml:space="preserve">Type</t>
  </si>
  <si>
    <t xml:space="preserve">Phase</t>
  </si>
  <si>
    <t xml:space="preserve">Customer</t>
  </si>
  <si>
    <t xml:space="preserve">Security Status</t>
  </si>
  <si>
    <t xml:space="preserve">ITB Division</t>
  </si>
  <si>
    <t xml:space="preserve">Notes</t>
  </si>
  <si>
    <t xml:space="preserve">ICMS (Integrated Claims Management System)</t>
  </si>
  <si>
    <t xml:space="preserve">Mankin-Guiney, Christy</t>
  </si>
  <si>
    <t xml:space="preserve">Active</t>
  </si>
  <si>
    <t xml:space="preserve">Priority 1.1 plus integrated claims management / core benefit platform signal.</t>
  </si>
  <si>
    <t xml:space="preserve">Integrated claims platform with modernization-level system and cybersecurity coordination.</t>
  </si>
  <si>
    <t xml:space="preserve">High</t>
  </si>
  <si>
    <t xml:space="preserve">Project</t>
  </si>
  <si>
    <t xml:space="preserve">Planning</t>
  </si>
  <si>
    <t xml:space="preserve">ITB</t>
  </si>
  <si>
    <t xml:space="preserve">Not Submitted</t>
  </si>
  <si>
    <t xml:space="preserve">EDDNext</t>
  </si>
  <si>
    <t xml:space="preserve">Project is in planning phase, Cybersecurity team engaged</t>
  </si>
  <si>
    <t xml:space="preserve">SDIOe BPR / Plain Language R2</t>
  </si>
  <si>
    <t xml:space="preserve">Madan, Supreet</t>
  </si>
  <si>
    <t xml:space="preserve">Priority 1.2 and plain-language/BPR scope tied to high customer and operational value.</t>
  </si>
  <si>
    <t xml:space="preserve">Business-process redesign/release work; meaningful workflow impact but not a full platform replacement.</t>
  </si>
  <si>
    <t xml:space="preserve">Execution</t>
  </si>
  <si>
    <t xml:space="preserve">Integrated Contact Center</t>
  </si>
  <si>
    <t xml:space="preserve">Dahyia, Sarabjit</t>
  </si>
  <si>
    <t xml:space="preserve">Priority 1.3 and contact-center scope suggests enterprise customer-service value.</t>
  </si>
  <si>
    <t xml:space="preserve">Integrated contact-center implementation with updated comprehensive project plan and multi-team coordination.</t>
  </si>
  <si>
    <t xml:space="preserve">Submitted</t>
  </si>
  <si>
    <t xml:space="preserve">PDD</t>
  </si>
  <si>
    <t xml:space="preserve">New PM's updating the project plan to be more comprehensive</t>
  </si>
  <si>
    <t xml:space="preserve">Fraud and Data Analytics - ID Proofing</t>
  </si>
  <si>
    <t xml:space="preserve">McLaughlin, LeAnne</t>
  </si>
  <si>
    <t xml:space="preserve">Priority 1.4 plus fraud, data analytics, and identity-proofing indicate high program/risk value.</t>
  </si>
  <si>
    <t xml:space="preserve">Data/identity proofing scope has moderate-to-high complexity, with governance/security implications.</t>
  </si>
  <si>
    <t xml:space="preserve">Stakeholder Register within Charter</t>
  </si>
  <si>
    <t xml:space="preserve">DMS Document Management System (Modernization)</t>
  </si>
  <si>
    <t xml:space="preserve">Bruderer, Brett</t>
  </si>
  <si>
    <t xml:space="preserve">Priority 1.5 and explicit document-management modernization signal high enterprise value.</t>
  </si>
  <si>
    <t xml:space="preserve">System modernization and document-management platform scope create high implementation complexity.</t>
  </si>
  <si>
    <t xml:space="preserve">Submitted </t>
  </si>
  <si>
    <t xml:space="preserve">Part of Second Submissions</t>
  </si>
  <si>
    <t xml:space="preserve">SB 1058 - DI Demographic Data</t>
  </si>
  <si>
    <t xml:space="preserve">Cervantes, Ricardo</t>
  </si>
  <si>
    <t xml:space="preserve">Priority 2 and statutory/DI demographic-data scope suggest high compliance and business value.</t>
  </si>
  <si>
    <t xml:space="preserve">Data/reporting and statutory implementation create moderate complexity.</t>
  </si>
  <si>
    <t xml:space="preserve">DIB</t>
  </si>
  <si>
    <t xml:space="preserve">In Progress</t>
  </si>
  <si>
    <t xml:space="preserve">TGD</t>
  </si>
  <si>
    <t xml:space="preserve">Outstanding - There was not one when i took over this project. </t>
  </si>
  <si>
    <t xml:space="preserve">PFL Claim Filing - Foster Child Youth</t>
  </si>
  <si>
    <t xml:space="preserve">Priority 3 and benefit-claim filing scope signal high claimant-service value.</t>
  </si>
  <si>
    <t xml:space="preserve">Claim filing changes are cross-functional and moderately complex.</t>
  </si>
  <si>
    <t xml:space="preserve">Medium</t>
  </si>
  <si>
    <t xml:space="preserve">AB 2123 Related Forms Update</t>
  </si>
  <si>
    <t xml:space="preserve">Priority 4 and AB-related forms update indicate meaningful compliance value, but bounded scope.</t>
  </si>
  <si>
    <t xml:space="preserve">Forms update is a limited/moderate implementation compared with system modernization.</t>
  </si>
  <si>
    <t xml:space="preserve">Enterprise Scheduling &amp; Queuing System (Qmatic)</t>
  </si>
  <si>
    <t xml:space="preserve">Lewis, Tara</t>
  </si>
  <si>
    <t xml:space="preserve">Priority 5 plus enterprise scheduling/queueing indicates broad customer-service value.</t>
  </si>
  <si>
    <t xml:space="preserve">Enterprise scheduling and queueing introduces workflow and integration complexity.</t>
  </si>
  <si>
    <t xml:space="preserve">CalJOBS Modernization Project</t>
  </si>
  <si>
    <t xml:space="preserve">Morales, Monica</t>
  </si>
  <si>
    <t xml:space="preserve">Priority 6 and explicit CalJOBS modernization signal high statewide workforce-service value.</t>
  </si>
  <si>
    <t xml:space="preserve">Major modernization with business, technical, and implementation complexity.</t>
  </si>
  <si>
    <t xml:space="preserve">WSB</t>
  </si>
  <si>
    <t xml:space="preserve">Second Submission </t>
  </si>
  <si>
    <t xml:space="preserve">EDD LMI GenAI POC</t>
  </si>
  <si>
    <t xml:space="preserve">Cacal, Richilda Mae</t>
  </si>
  <si>
    <t xml:space="preserve">POC language and no required security documentation indicate exploratory/limited value under governance scoring.</t>
  </si>
  <si>
    <t xml:space="preserve">POC scope is intentionally bounded and low-to-moderate complexity.</t>
  </si>
  <si>
    <t xml:space="preserve">LDCB</t>
  </si>
  <si>
    <t xml:space="preserve">POC No Security documentation needed for effort</t>
  </si>
  <si>
    <t xml:space="preserve">Direct Deposit Benefit Payments (SB 497/AB 138)</t>
  </si>
  <si>
    <t xml:space="preserve">Clark, Sabrina</t>
  </si>
  <si>
    <t xml:space="preserve">Direct deposit benefit payments plus statute references signal high claimant/payment value despite Strike type.</t>
  </si>
  <si>
    <t xml:space="preserve">Payment implementation across benefit programs is complex enough that Strike status should not make it Mini.</t>
  </si>
  <si>
    <t xml:space="preserve">Strike</t>
  </si>
  <si>
    <t xml:space="preserve">Completed</t>
  </si>
  <si>
    <t xml:space="preserve">DIB/UIB</t>
  </si>
  <si>
    <t xml:space="preserve">ASD</t>
  </si>
  <si>
    <t xml:space="preserve">Only tracked schedule, there is no folder to look at</t>
  </si>
  <si>
    <t xml:space="preserve">Modernizing Employer Authentication</t>
  </si>
  <si>
    <t xml:space="preserve">Manandhar, Prabina</t>
  </si>
  <si>
    <t xml:space="preserve">Employer authentication across WSB/UIB/TAX is high value, even though listed as Strike.</t>
  </si>
  <si>
    <t xml:space="preserve">Identity/authentication across multiple branches is complex; Strike type does not override score thresholds.</t>
  </si>
  <si>
    <t xml:space="preserve">WSB/UIB/TAX</t>
  </si>
  <si>
    <t xml:space="preserve">Strike effort and project team is working with Cybersecuritydocumentation is in progress</t>
  </si>
  <si>
    <t xml:space="preserve">ServiceNow IT Asset Mgmt &amp; Customer Service Mgmt</t>
  </si>
  <si>
    <t xml:space="preserve">Chandrapal, Deepak</t>
  </si>
  <si>
    <t xml:space="preserve">ServiceNow ITAM/CSM impacts enterprise IT service management and customer-service operations.</t>
  </si>
  <si>
    <t xml:space="preserve">Platform/module implementation and process change create high technical/operational complexity.</t>
  </si>
  <si>
    <t xml:space="preserve">AWS Q POC - UI Determination Quality</t>
  </si>
  <si>
    <t xml:space="preserve">Joji, Jerin</t>
  </si>
  <si>
    <t xml:space="preserve">POC language lowers value, but UI determination quality and ITB involvement keep it above Mini.</t>
  </si>
  <si>
    <t xml:space="preserve">POC remains bounded, but UI quality scope adds moderate business/technical complexity.</t>
  </si>
  <si>
    <t xml:space="preserve">UIB/ITB</t>
  </si>
  <si>
    <t xml:space="preserve">Starting Project</t>
  </si>
  <si>
    <t xml:space="preserve">Snowflake Cloud Data Warehouse Implementation</t>
  </si>
  <si>
    <t xml:space="preserve">Mamidala, Srinivas</t>
  </si>
  <si>
    <t xml:space="preserve">Cloud data warehouse implementation has enterprise data-platform value.</t>
  </si>
  <si>
    <t xml:space="preserve">Cloud data warehouse implementation is a major technical/platform effort.</t>
  </si>
  <si>
    <t xml:space="preserve">ENT</t>
  </si>
  <si>
    <t xml:space="preserve">Tied to NLAB decisions</t>
  </si>
  <si>
    <t xml:space="preserve">System Modifications to Comply with FEHA</t>
  </si>
  <si>
    <t xml:space="preserve">Hussaini, Parviz</t>
  </si>
  <si>
    <t xml:space="preserve">FEHA compliance scope gives high statutory/risk value despite bounded implementation.</t>
  </si>
  <si>
    <t xml:space="preserve">System modifications are scoped and lower complexity than modernization.</t>
  </si>
  <si>
    <t xml:space="preserve">Security documentation not needed for this effort</t>
  </si>
  <si>
    <t xml:space="preserve">EDDConnect Request for Personnel Action (RPA)</t>
  </si>
  <si>
    <t xml:space="preserve">Yang, Ming</t>
  </si>
  <si>
    <t xml:space="preserve">Strike/enhancement to existing system with admin RPA scope stays below the Mini value ceiling.</t>
  </si>
  <si>
    <t xml:space="preserve">Existing-system enhancement and admin workflow scope are low complexity.</t>
  </si>
  <si>
    <t xml:space="preserve">Admin</t>
  </si>
  <si>
    <t xml:space="preserve">Enhancement to existing system </t>
  </si>
  <si>
    <t xml:space="preserve">Okamura Settlement Compliance</t>
  </si>
  <si>
    <t xml:space="preserve">Gonzalez, Tiffany</t>
  </si>
  <si>
    <t xml:space="preserve">Settlement compliance has elevated legal/compliance value.</t>
  </si>
  <si>
    <t xml:space="preserve">Compliance execution and branch documentation create moderate complexity.</t>
  </si>
  <si>
    <t xml:space="preserve">UIB</t>
  </si>
  <si>
    <t xml:space="preserve">Documentation done per customer branch </t>
  </si>
  <si>
    <t xml:space="preserve">Integrity Data Hub (IDH) Enhancements</t>
  </si>
  <si>
    <t xml:space="preserve">Integrity data hub enhancements carry high data/integrity value.</t>
  </si>
  <si>
    <t xml:space="preserve">Data hub enhancements and alignment dependencies raise complexity.</t>
  </si>
  <si>
    <t xml:space="preserve">Recommendation to align with Core2026, have to understand timeline in association with ACES and FAST. Tax Branch to update following  discussions with AMB and FAST.</t>
  </si>
  <si>
    <t xml:space="preserve">DOL USPS In-Person Identity Proofing for UI Claimants</t>
  </si>
  <si>
    <t xml:space="preserve">Identity proofing for UI claimants has high program integrity/customer value.</t>
  </si>
  <si>
    <t xml:space="preserve">External USPS/DOL identity process and UI claimant workflow create moderate complexity.</t>
  </si>
  <si>
    <t xml:space="preserve">Charter and Schedule completed for this effort. Most of the plans completed via meetings, meeting notes, and input in charter </t>
  </si>
  <si>
    <t xml:space="preserve">UI Online - Appeals Portal</t>
  </si>
  <si>
    <t xml:space="preserve">UI Online appeals functionality carries high customer/program value.</t>
  </si>
  <si>
    <t xml:space="preserve">Portal and appeals workflow scope create moderate complexity.</t>
  </si>
  <si>
    <t xml:space="preserve">Infrastructure Security Assessment</t>
  </si>
  <si>
    <t xml:space="preserve">Kidd, Christy</t>
  </si>
  <si>
    <t xml:space="preserve">Analysis/assessment note and non-SDLC status keep value below Mini ceiling.</t>
  </si>
  <si>
    <t xml:space="preserve">Assessment-only work is low complexity compared with delivery implementation.</t>
  </si>
  <si>
    <t xml:space="preserve">Cybersecurity</t>
  </si>
  <si>
    <t xml:space="preserve">Not an official SDLC project. This was an analysis effort. </t>
  </si>
  <si>
    <t xml:space="preserve">ID Verification Case Tracking (ARPA Integrity Grant)</t>
  </si>
  <si>
    <t xml:space="preserve">Mishra, Anjana</t>
  </si>
  <si>
    <t xml:space="preserve">ID verification case tracking has program integrity value, but scope appears bounded.</t>
  </si>
  <si>
    <t xml:space="preserve">Case-tracking change is moderate but not modernization-level complexity.</t>
  </si>
  <si>
    <t xml:space="preserve">Not Submitted — Expected 04/10/2026</t>
  </si>
  <si>
    <t xml:space="preserve">Field Information System (FIS)</t>
  </si>
  <si>
    <t xml:space="preserve">Ramaseshan, Sankar</t>
  </si>
  <si>
    <t xml:space="preserve">Multi-branch field information system suggests high operational value.</t>
  </si>
  <si>
    <t xml:space="preserve">Multi-branch system scope creates high complexity.</t>
  </si>
  <si>
    <t xml:space="preserve">Stored within the Second submissions</t>
  </si>
  <si>
    <t xml:space="preserve">SIDES Governance and Exchange Project</t>
  </si>
  <si>
    <t xml:space="preserve">Iwu, Michael</t>
  </si>
  <si>
    <t xml:space="preserve">Governance/exchange scope is important, but naming suggests bounded value compared with core modernization.</t>
  </si>
  <si>
    <t xml:space="preserve">Governance/exchange work has moderate coordination complexity.</t>
  </si>
  <si>
    <t xml:space="preserve">Federal Tax Information Secure Data Share</t>
  </si>
  <si>
    <t xml:space="preserve">Silva, Chaminda</t>
  </si>
  <si>
    <t xml:space="preserve">Strike/existing-system enhancement signal keeps value below Mini ceiling.</t>
  </si>
  <si>
    <t xml:space="preserve">Secure data share enhancement appears bounded and low complexity.</t>
  </si>
  <si>
    <t xml:space="preserve">ISD</t>
  </si>
  <si>
    <t xml:space="preserve">Not needed for this effort, enhancement to the existing system</t>
  </si>
  <si>
    <t xml:space="preserve">NLAB LWDA Hub Building Move</t>
  </si>
  <si>
    <t xml:space="preserve">Boyle, Grace</t>
  </si>
  <si>
    <t xml:space="preserve">Enterprise hub move has high operational value, but not a core application modernization.</t>
  </si>
  <si>
    <t xml:space="preserve">Building move involves enterprise logistics/physical security and coordination complexity.</t>
  </si>
  <si>
    <t xml:space="preserve">Physical security noted, documentation provided in second submission folder</t>
  </si>
  <si>
    <t xml:space="preserve">UI Space Force</t>
  </si>
  <si>
    <t xml:space="preserve">Jondle, Alan</t>
  </si>
  <si>
    <t xml:space="preserve">UI-specific effort has meaningful value, but notes suggest limited incremental documentation scope.</t>
  </si>
  <si>
    <t xml:space="preserve">Implementation appears scoped, with existing UI Online security artifacts.</t>
  </si>
  <si>
    <t xml:space="preserve">UI Online keeps its SSP up to date on its own so we did not do that as part of either of those 2 projects. PIA completed for this effort, BIA waived.</t>
  </si>
  <si>
    <t xml:space="preserve">PFL Bonding Automation</t>
  </si>
  <si>
    <t xml:space="preserve">Strike/quick-win backlog-reduction note keeps this below the Mini value ceiling.</t>
  </si>
  <si>
    <t xml:space="preserve">Quick-win automation effort is low complexity compared with a formal project.</t>
  </si>
  <si>
    <t xml:space="preserve">The Bonding Automation project is similar to strike teams recommendation where the team was quickly trying to reduce the PFL backlog to get few quick wins. Traditional projects artifacts were not created.</t>
  </si>
  <si>
    <t xml:space="preserve">CO Data Center Migration to TMS Cloud</t>
  </si>
  <si>
    <t xml:space="preserve">Data-center migration has meaningful technical value but appears focused on existing server documentation.</t>
  </si>
  <si>
    <t xml:space="preserve">Server/cloud migration is technically complex even if documentation uses existing materials.</t>
  </si>
  <si>
    <t xml:space="preserve">Migration of servers to TMS Cloud used existing server documentation</t>
  </si>
  <si>
    <t xml:space="preserve">DI Vital Forms Translations</t>
  </si>
  <si>
    <t xml:space="preserve">Jain, Manish</t>
  </si>
  <si>
    <t xml:space="preserve">Forms translation is valuable but bounded and below Mini value ceiling.</t>
  </si>
  <si>
    <t xml:space="preserve">Translation/forms scope is limited and low-to-moderate complexity.</t>
  </si>
  <si>
    <t xml:space="preserve">Translation, Ajit and Adam Sponsors</t>
  </si>
  <si>
    <t xml:space="preserve">DI / PFL Duplicate Claims</t>
  </si>
  <si>
    <t xml:space="preserve">Strike/quick-win backlog-reduction note keeps this just under the Mini value ceiling.</t>
  </si>
  <si>
    <t xml:space="preserve">Duplicate-claims quick-win effort is low complexity.</t>
  </si>
  <si>
    <t xml:space="preserve">The Duplicate Claims is similar to strike teams recommendation where the team was quickly trying to reduce the PFL backlog to get quick wins. Traditional projects artifacts were not created.</t>
  </si>
  <si>
    <t xml:space="preserve">CalJOBS - OBBBA Medicaid Work Requirements</t>
  </si>
  <si>
    <t xml:space="preserve">Narendra, PDD Division Chief</t>
  </si>
  <si>
    <t xml:space="preserve">CalJOBS and work requirements indicate meaningful program value.</t>
  </si>
  <si>
    <t xml:space="preserve">On-hold status aside, requirements/workflow changes create above-average complexity.</t>
  </si>
  <si>
    <t xml:space="preserve">On Hold</t>
  </si>
  <si>
    <t xml:space="preserve">ON HOLD</t>
  </si>
  <si>
    <t xml:space="preserve">Case Management System - IAD</t>
  </si>
  <si>
    <t xml:space="preserve">Case-management system scope has meaningful operational value.</t>
  </si>
  <si>
    <t xml:space="preserve">Case-management system work suggests high technical/workflow complexity.</t>
  </si>
  <si>
    <t xml:space="preserve">MS Teams Phone Project (SoftPhone)</t>
  </si>
  <si>
    <t xml:space="preserve">Hummel, Tanya</t>
  </si>
  <si>
    <t xml:space="preserve">Enterprise softphone effort has operational value, but on-hold/docs-note lowers urgency/value.</t>
  </si>
  <si>
    <t xml:space="preserve">Enterprise telephony rollout is above-average technical and adoption complexity.</t>
  </si>
  <si>
    <t xml:space="preserve">Docs submitted directly — no standard intake form.</t>
  </si>
  <si>
    <t xml:space="preserve">CIMS / MIS Replacement</t>
  </si>
  <si>
    <t xml:space="preserve">Rajasekaran, Aparnaa</t>
  </si>
  <si>
    <t xml:space="preserve">Replacement scope is valuable, but completed status and lower priority keep value moderate.</t>
  </si>
  <si>
    <t xml:space="preserve">Replacement work carries high complexity even at moderate value.</t>
  </si>
  <si>
    <t xml:space="preserve">WSB Lobby Environment Modernization</t>
  </si>
  <si>
    <t xml:space="preserve">Lobby modernization has customer-service value, but appears narrower than enterprise platform work.</t>
  </si>
  <si>
    <t xml:space="preserve">Modernization and customer-facing environment changes create high complexity.</t>
  </si>
  <si>
    <t xml:space="preserve">UI Online keeps its SSP up to date on its own so we did not do that as part of either of those 2 projects.</t>
  </si>
  <si>
    <t xml:space="preserve">ITB Service Desk Modernization</t>
  </si>
  <si>
    <t xml:space="preserve">Atkinson, Oksana</t>
  </si>
  <si>
    <t xml:space="preserve">Service desk modernization has strong internal service value.</t>
  </si>
  <si>
    <t xml:space="preserve">Modernization/process/tooling changes create high complexity.</t>
  </si>
  <si>
    <t xml:space="preserve">The project has the artifacts available </t>
  </si>
  <si>
    <t xml:space="preserve">SharePoint Online Migration</t>
  </si>
  <si>
    <t xml:space="preserve">Espero, Tabatha</t>
  </si>
  <si>
    <t xml:space="preserve">Enterprise SharePoint migration has high collaboration/platform value.</t>
  </si>
  <si>
    <t xml:space="preserve">Enterprise migration is technically and organizationally complex.</t>
  </si>
  <si>
    <t xml:space="preserve">ETR Expansion to LWDA, CUIAB, CWDB, and ETP</t>
  </si>
  <si>
    <t xml:space="preserve">Kintaudi, Delondi</t>
  </si>
  <si>
    <t xml:space="preserve">Expansion across LWDA/CUIAB/CWDB/ETP has meaningful multi-entity value.</t>
  </si>
  <si>
    <t xml:space="preserve">Multi-entity expansion creates coordination and integration complexity.</t>
  </si>
  <si>
    <t xml:space="preserve">MS Server 2016 Refresh</t>
  </si>
  <si>
    <t xml:space="preserve">Server refresh is important infrastructure risk work, though not a business-facing modernization.</t>
  </si>
  <si>
    <t xml:space="preserve">Many-system refresh creates high technical coordination complexity.</t>
  </si>
  <si>
    <t xml:space="preserve">This process is expected to stay with the System owners as there are too many systems to track. </t>
  </si>
  <si>
    <t xml:space="preserve">EDD Internal Chatbot Implementation</t>
  </si>
  <si>
    <t xml:space="preserve">Scott, John Michael</t>
  </si>
  <si>
    <t xml:space="preserve">Internal chatbot implementation has enterprise enablement value but stays below Full threshold.</t>
  </si>
  <si>
    <t xml:space="preserve">Enterprise chatbot implementation creates above-average technical/adoption complexity.</t>
  </si>
  <si>
    <t xml:space="preserve">CLM/PKI Enhancement Project</t>
  </si>
  <si>
    <t xml:space="preserve">Enhancement/POC completed note keeps value below Mini ceiling.</t>
  </si>
  <si>
    <t xml:space="preserve">PKI enhancement appears bounded and low-to-moderate complexity.</t>
  </si>
  <si>
    <t xml:space="preserve">Not needed for this effort, POC completed</t>
  </si>
  <si>
    <t xml:space="preserve">Automate Budget Solution</t>
  </si>
  <si>
    <t xml:space="preserve">Rauser, Reinhard</t>
  </si>
  <si>
    <t xml:space="preserve">Cancelled project; scoring retained only for context and excluded from tier counts.</t>
  </si>
  <si>
    <t xml:space="preserve">Cancelled/no intake form makes active governance tiering not applicable.</t>
  </si>
  <si>
    <t xml:space="preserve">PSD</t>
  </si>
  <si>
    <t xml:space="preserve">CANCELLED — Project was cancelled; no intake form submitted.</t>
  </si>
  <si>
    <t xml:space="preserve">UIO Certification Questions Update</t>
  </si>
  <si>
    <t xml:space="preserve">Certification question update is a bounded content/configuration change.</t>
  </si>
  <si>
    <t xml:space="preserve">Question update scope is low-to-moderate complexity.</t>
  </si>
  <si>
    <t xml:space="preserve">Second Submission folder </t>
  </si>
  <si>
    <t xml:space="preserve">ADLM (Automating Distribution List Members)</t>
  </si>
  <si>
    <t xml:space="preserve">Standard change/automation was closed before security documentation was required.</t>
  </si>
  <si>
    <t xml:space="preserve">Distribution-list automation is low-to-moderate complexity.</t>
  </si>
  <si>
    <t xml:space="preserve">This standard change was closed before security documentation was required.</t>
  </si>
  <si>
    <t xml:space="preserve">BOPSD Procurement Mgmt Software (Authorium)</t>
  </si>
  <si>
    <t xml:space="preserve">Prizmich, Lauren</t>
  </si>
  <si>
    <t xml:space="preserve">Vendor-led configuration/existing system keeps value below 60, but not necessarily Mini.</t>
  </si>
  <si>
    <t xml:space="preserve">Vendor-led configuration still has complexity above 2.5, so it fails the Mini complexity gate.</t>
  </si>
  <si>
    <t xml:space="preserve">The vendor is handling all artifacts, team is looking to have a second phase, but they are unsure what has already been completed. Project configuration of existing system</t>
  </si>
  <si>
    <t xml:space="preserve">*</t>
  </si>
  <si>
    <t xml:space="preserve">EDD Fraud Hotline (Speech-to-Text) *</t>
  </si>
  <si>
    <t xml:space="preserve">Delondi Kintaudi</t>
  </si>
  <si>
    <t xml:space="preserve">Reframed as a proof-of-concept / prove-the-capability effort intended to de-risk and enable a later project, not standalone enterprise delivery. POC/leverage basis lowers standalone value.</t>
  </si>
  <si>
    <t xml:space="preserve">Speech-to-text delivery has data/security/vendor/process complexity.</t>
  </si>
  <si>
    <t xml:space="preserve">* Not listed in Executive Report project roster</t>
  </si>
  <si>
    <t xml:space="preserve">Scoring Rules and Assumptions</t>
  </si>
  <si>
    <t xml:space="preserve">Rule Area</t>
  </si>
  <si>
    <t xml:space="preserve">Defensible working rule</t>
  </si>
  <si>
    <t xml:space="preserve">Why it matters</t>
  </si>
  <si>
    <t xml:space="preserve">Formula</t>
  </si>
  <si>
    <t xml:space="preserve">Estimated VC = Estimated Value − (Estimated Avg Complexity × 2.5)</t>
  </si>
  <si>
    <t xml:space="preserve">Keeps the score aligned to the value-to-complexity model already being discussed.</t>
  </si>
  <si>
    <t xml:space="preserve">Estimated VC &gt; 79</t>
  </si>
  <si>
    <t xml:space="preserve">Anything above 79 is treated as requiring a Full governance plan.</t>
  </si>
  <si>
    <t xml:space="preserve">Estimated Value &lt; 60 AND Estimated Avg Complexity ≤ 2.5</t>
  </si>
  <si>
    <t xml:space="preserve">Prevents high-value efforts from being called Mini just because they are a Strike, pilot, or POC.</t>
  </si>
  <si>
    <t xml:space="preserve">Everything active that is not Full and does not pass the Mini gate</t>
  </si>
  <si>
    <t xml:space="preserve">Captures medium/high-value work, moderate complexity, and low-value-but-complex work.</t>
  </si>
  <si>
    <t xml:space="preserve">Name/type signals</t>
  </si>
  <si>
    <t xml:space="preserve">POC, pilot, Strike, quick win, analysis-only, enhancement, existing-system configuration</t>
  </si>
  <si>
    <t xml:space="preserve">These can lower value/complexity, but they do not override the Mini gate.</t>
  </si>
  <si>
    <t xml:space="preserve">High-value signals</t>
  </si>
  <si>
    <t xml:space="preserve">Core benefit payments, claims, identity proofing, modernization, enterprise platform, statutory/compliance, data warehouse</t>
  </si>
  <si>
    <t xml:space="preserve">These raise the value estimate and can push the VC score into Full.</t>
  </si>
  <si>
    <t xml:space="preserve">Complexity signals</t>
  </si>
  <si>
    <t xml:space="preserve">Modernization, replacement, migration, multi-branch scope, cloud/data/platform, identity/security, enterprise rollout</t>
  </si>
  <si>
    <t xml:space="preserve">These raise the complexity estimate and reduce the VC score while also making the work less Mini-like.</t>
  </si>
  <si>
    <t xml:space="preserve">High where the name/type/notes clearly trigger a rule; Medium where the score relies more heavily on project-name inference</t>
  </si>
  <si>
    <t xml:space="preserve">Keeps the estimate honest and makes the judgment auditable.</t>
  </si>
  <si>
    <t xml:space="preserve">Methodology &amp; Defensibility</t>
  </si>
  <si>
    <t xml:space="preserve">Topic</t>
  </si>
  <si>
    <t xml:space="preserve">Position / Method</t>
  </si>
  <si>
    <t xml:space="preserve">Why it is defensible</t>
  </si>
  <si>
    <t xml:space="preserve">Formula (Profiler-faithful)</t>
  </si>
  <si>
    <t xml:space="preserve">All VC values were recomputed to match the ESPMO Profiler source exactly: VC = round(Total Value − (average of business and technical complexity × 2.5)). VC is rounded to the nearest integer (Math.round, half-up), matching the tool. No value-level rounding-to-5 is applied because the Profiler does not do this — Value is a sum of four weighted drivers and lands on whatever integer they total.</t>
  </si>
  <si>
    <t xml:space="preserve">Replaces the earlier guessed numbers and the "&gt;79" cutoff with the tool’s real arithmetic and ≥80 cutoff. Every VC in this sheet now equals what the Profiler would output for the same Value and average-complexity inputs, so the sheet is reconcilable line-by-line against a live Profiler run.</t>
  </si>
  <si>
    <t xml:space="preserve">Band ladder</t>
  </si>
  <si>
    <t xml:space="preserve">Banding uses the Profiler ladder verbatim: VC ≥ 80 → Full; else Value &lt; 60 AND avg complexity &lt; 2.5 → Mini; else Standard. The Mini gate is strict-less-than on both Value (&lt;60) and complexity (&lt;2.5), matching the source.</t>
  </si>
  <si>
    <t xml:space="preserve">Prevents drift from the canonical 4-tier model. The strict &lt; 2.5 complexity gate (not ≤) is the tool’s actual condition; using ≤ here would have mis-tiered borderline rows.</t>
  </si>
  <si>
    <t xml:space="preserve">EDD Next / PAL escalation NOT auto-applied</t>
  </si>
  <si>
    <t xml:space="preserve">The Profiler also has an EDD Next floor (forces Full) and a PAL Tier 4 path, both driven by in-tool flags. These are NOT inferred from the ITB Division column. A division labelled "EDDNext" does not by itself set the floor; the flag is set inside the Profiler per project.</t>
  </si>
  <si>
    <t xml:space="preserve">Avoids a false escalation: inferring the floor from the division label would wrongly push low-VC quick-win efforts (e.g. PFL Bonding Automation, DI/PFL Duplicate Claims) to Full. Escalations are left off pending a confirmed flag, which is the conservative, defensible default.</t>
  </si>
  <si>
    <t xml:space="preserve">Input basis (Value &amp; avg complexity)</t>
  </si>
  <si>
    <t xml:space="preserve">Value and average complexity remain ESTIMATES inferred from project name, type, phase, and intake notes — the Profiler-faithful step recomputes the VERDICT (VC and band) from those inputs, it does not claim the inputs themselves are Profiler-measured.</t>
  </si>
  <si>
    <t xml:space="preserve">Cleanly separates rule-faithfulness (now exact) from input-estimation (still judgment). A reviewer can accept the recomputed banding while still re-estimating any individual Value or complexity.</t>
  </si>
  <si>
    <t xml:space="preserve">Fraud Hotline reframe</t>
  </si>
  <si>
    <t xml:space="preserve">EDD Fraud Hotline (Speech-to-Text), marked *, was reframed as a POC/prove-the-capability effort (Value lowered 90→85). At avg complexity 2.8 this yields VC 78 → Standard under the ≥80 ladder. Remains off the Executive Report roster — flagged for reconciliation.</t>
  </si>
  <si>
    <t xml:space="preserve">Applies the same POC value-discount the Profiler logic and this sheet already use for other POC/Strike efforts; the change is rule-consistent rather than an ad-hoc exception, and the roster gap is surfaced proactively.</t>
  </si>
  <si>
    <t xml:space="preserve">Scope of this tab</t>
  </si>
  <si>
    <t xml:space="preserve">Active tiering only. The single Not Tiered row (cancelled, no intake) is scored for context but excluded from tier counts and guardrails. Active denominator = 48 of 49 rows.</t>
  </si>
  <si>
    <t xml:space="preserve">Keeps tier shares and guardrail checks undistorted by inactive work.</t>
  </si>
</sst>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13">
    <font>
      <sz val="10"/>
      <name val="Arial"/>
      <family val="2"/>
      <charset val="1"/>
    </font>
    <font>
      <sz val="10"/>
      <name val="Arial"/>
      <family val="0"/>
    </font>
    <font>
      <sz val="10"/>
      <name val="Arial"/>
      <family val="0"/>
    </font>
    <font>
      <sz val="10"/>
      <name val="Arial"/>
      <family val="0"/>
    </font>
    <font>
      <b val="true"/>
      <sz val="16"/>
      <color rgb="FFFFFFFF"/>
      <name val="Calibri"/>
      <family val="0"/>
      <charset val="1"/>
    </font>
    <font>
      <i val="true"/>
      <sz val="11"/>
      <color rgb="FF163342"/>
      <name val="Calibri"/>
      <family val="0"/>
      <charset val="1"/>
    </font>
    <font>
      <sz val="11"/>
      <name val="Calibri"/>
      <family val="0"/>
      <charset val="1"/>
    </font>
    <font>
      <b val="true"/>
      <sz val="11"/>
      <color rgb="FFFFFFFF"/>
      <name val="Calibri"/>
      <family val="0"/>
      <charset val="1"/>
    </font>
    <font>
      <b val="true"/>
      <sz val="11"/>
      <name val="Calibri"/>
      <family val="0"/>
      <charset val="1"/>
    </font>
    <font>
      <b val="true"/>
      <sz val="11"/>
      <color rgb="FF1F2933"/>
      <name val="Calibri"/>
      <family val="0"/>
      <charset val="1"/>
    </font>
    <font>
      <b val="true"/>
      <sz val="18"/>
      <color rgb="FF000000"/>
      <name val="Calibri"/>
      <family val="2"/>
    </font>
    <font>
      <sz val="10"/>
      <color rgb="FF000000"/>
      <name val="Calibri"/>
      <family val="2"/>
    </font>
    <font>
      <b val="true"/>
      <sz val="15"/>
      <color rgb="FFFFFFFF"/>
      <name val="Calibri"/>
      <family val="0"/>
      <charset val="1"/>
    </font>
  </fonts>
  <fills count="6">
    <fill>
      <patternFill patternType="none"/>
    </fill>
    <fill>
      <patternFill patternType="gray125"/>
    </fill>
    <fill>
      <patternFill patternType="solid">
        <fgColor rgb="FF0B4F71"/>
        <bgColor rgb="FF156082"/>
      </patternFill>
    </fill>
    <fill>
      <patternFill patternType="solid">
        <fgColor rgb="FFEAF4F8"/>
        <bgColor rgb="FFDDEBF7"/>
      </patternFill>
    </fill>
    <fill>
      <patternFill patternType="solid">
        <fgColor rgb="FF1F6F6A"/>
        <bgColor rgb="FF156082"/>
      </patternFill>
    </fill>
    <fill>
      <patternFill patternType="solid">
        <fgColor rgb="FFC99700"/>
        <bgColor rgb="FFFF66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9" fillId="5" borderId="0" xfId="0" applyFont="true" applyBorder="false" applyAlignment="true" applyProtection="false">
      <alignment horizontal="center" vertical="bottom" textRotation="0" wrapText="tru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true" applyProtection="false">
      <alignment horizontal="general" vertical="top" textRotation="0" wrapText="true" indent="0" shrinkToFit="false"/>
      <protection locked="true" hidden="false"/>
    </xf>
    <xf numFmtId="164" fontId="12" fillId="2"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tru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B4F71"/>
          <bgColor rgb="FF000000"/>
        </patternFill>
      </fill>
    </dxf>
    <dxf>
      <fill>
        <patternFill patternType="solid">
          <bgColor rgb="FF000000"/>
        </patternFill>
      </fill>
    </dxf>
    <dxf>
      <fill>
        <patternFill patternType="solid">
          <fgColor rgb="FFFFFFFF"/>
          <bgColor rgb="FF000000"/>
        </patternFill>
      </fill>
    </dxf>
    <dxf>
      <font>
        <b val="1"/>
        <color rgb="FF0B4F71"/>
      </font>
      <fill>
        <patternFill>
          <bgColor rgb="FFDDEBF7"/>
        </patternFill>
      </fill>
    </dxf>
    <dxf>
      <font>
        <b val="1"/>
        <color rgb="FF375623"/>
      </font>
      <fill>
        <patternFill>
          <bgColor rgb="FFE2F0D9"/>
        </patternFill>
      </fill>
    </dxf>
    <dxf>
      <font>
        <b val="1"/>
        <color rgb="FF7F6000"/>
      </font>
      <fill>
        <patternFill>
          <bgColor rgb="FFFFF2CC"/>
        </patternFill>
      </fill>
    </dxf>
    <dxf>
      <font>
        <b val="1"/>
        <color rgb="FF666666"/>
      </font>
      <fill>
        <patternFill>
          <bgColor rgb="FFE7E6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1F6F6A"/>
      <rgbColor rgb="FFCCCCCC"/>
      <rgbColor rgb="FF8B8B8B"/>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156082"/>
      <rgbColor rgb="FF0000FF"/>
      <rgbColor rgb="FF00CCFF"/>
      <rgbColor rgb="FFEAF4F8"/>
      <rgbColor rgb="FFE2F0D9"/>
      <rgbColor rgb="FFE7E6E6"/>
      <rgbColor rgb="FF99CCFF"/>
      <rgbColor rgb="FFFF99CC"/>
      <rgbColor rgb="FFCC99FF"/>
      <rgbColor rgb="FFFFCC99"/>
      <rgbColor rgb="FF3366FF"/>
      <rgbColor rgb="FF33CCCC"/>
      <rgbColor rgb="FF99CC00"/>
      <rgbColor rgb="FFFFCC00"/>
      <rgbColor rgb="FFC99700"/>
      <rgbColor rgb="FFFF6600"/>
      <rgbColor rgb="FF666666"/>
      <rgbColor rgb="FF969696"/>
      <rgbColor rgb="FF163342"/>
      <rgbColor rgb="FF339966"/>
      <rgbColor rgb="FF003300"/>
      <rgbColor rgb="FF375623"/>
      <rgbColor rgb="FF993300"/>
      <rgbColor rgb="FF993366"/>
      <rgbColor rgb="FF0B4F71"/>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Active Portfolio — Guessed Tier Split</a:t>
            </a:r>
          </a:p>
        </c:rich>
      </c:tx>
      <c:overlay val="0"/>
      <c:spPr>
        <a:noFill/>
        <a:ln w="0">
          <a:noFill/>
        </a:ln>
      </c:spPr>
    </c:title>
    <c:autoTitleDeleted val="0"/>
    <c:plotArea>
      <c:barChart>
        <c:barDir val="col"/>
        <c:grouping val="clustered"/>
        <c:varyColors val="0"/>
        <c:ser>
          <c:idx val="0"/>
          <c:order val="0"/>
          <c:tx>
            <c:strRef>
              <c:f>"Series 1"</c:f>
              <c:strCache>
                <c:ptCount val="1"/>
                <c:pt idx="0">
                  <c:v>Series 1</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Summary!$A$5:$A$7</c:f>
              <c:strCache>
                <c:ptCount val="3"/>
                <c:pt idx="0">
                  <c:v>Mini</c:v>
                </c:pt>
                <c:pt idx="1">
                  <c:v>Standard</c:v>
                </c:pt>
                <c:pt idx="2">
                  <c:v>Full</c:v>
                </c:pt>
              </c:strCache>
            </c:strRef>
          </c:cat>
          <c:val>
            <c:numRef>
              <c:f>Summary!$B$5:$B$7</c:f>
              <c:numCache>
                <c:formatCode>General</c:formatCode>
                <c:ptCount val="3"/>
                <c:pt idx="0">
                  <c:v>10</c:v>
                </c:pt>
                <c:pt idx="1">
                  <c:v>25</c:v>
                </c:pt>
                <c:pt idx="2">
                  <c:v>13</c:v>
                </c:pt>
              </c:numCache>
            </c:numRef>
          </c:val>
        </c:ser>
        <c:gapWidth val="150"/>
        <c:overlap val="0"/>
        <c:axId val="71714951"/>
        <c:axId val="75335830"/>
      </c:barChart>
      <c:catAx>
        <c:axId val="7171495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5335830"/>
        <c:crosses val="autoZero"/>
        <c:auto val="1"/>
        <c:lblAlgn val="ctr"/>
        <c:lblOffset val="100"/>
        <c:noMultiLvlLbl val="0"/>
      </c:catAx>
      <c:valAx>
        <c:axId val="7533583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17149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12</xdr:col>
      <xdr:colOff>609480</xdr:colOff>
      <xdr:row>15</xdr:row>
      <xdr:rowOff>60840</xdr:rowOff>
    </xdr:to>
    <xdr:graphicFrame>
      <xdr:nvGraphicFramePr>
        <xdr:cNvPr id="0" name="Chart 1"/>
        <xdr:cNvGraphicFramePr/>
      </xdr:nvGraphicFramePr>
      <xdr:xfrm>
        <a:off x="9210600" y="1076400"/>
        <a:ext cx="4890240" cy="283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efensibleTierTable" displayName="DefensibleTierTable" ref="A1:Q50" headerRowCount="1" totalsRowCount="0" totalsRowShown="0">
  <tableColumns count="17">
    <tableColumn id="1" name="Priority"/>
    <tableColumn id="2" name="Project Name"/>
    <tableColumn id="3" name="Project Manager"/>
    <tableColumn id="4" name="Score Status"/>
    <tableColumn id="5" name="Estimated Value"/>
    <tableColumn id="6" name="Why Value Score"/>
    <tableColumn id="7" name="Estimated Avg Complexity"/>
    <tableColumn id="8" name="Why Complexity Score"/>
    <tableColumn id="9" name="Estimated VC"/>
    <tableColumn id="10" name="Guessed Tier"/>
    <tableColumn id="11" name="Tier Rule / Why"/>
    <tableColumn id="12" name="Confidence"/>
    <tableColumn id="13" name="Type"/>
    <tableColumn id="14" name="Phase"/>
    <tableColumn id="15" name="Customer"/>
    <tableColumn id="16" name="Security Status"/>
    <tableColumn id="17" name="ITB Division"/>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3"/>
    <col collapsed="false" customWidth="true" hidden="false" outlineLevel="0" max="3" min="3" style="1" width="15"/>
    <col collapsed="false" customWidth="true" hidden="false" outlineLevel="0" max="4" min="4" style="1" width="70"/>
  </cols>
  <sheetData>
    <row r="1" customFormat="false" ht="27.75" hidden="false" customHeight="true" outlineLevel="0" collapsed="false">
      <c r="A1" s="2" t="s">
        <v>0</v>
      </c>
      <c r="B1" s="2"/>
      <c r="C1" s="2"/>
      <c r="D1" s="2"/>
      <c r="E1" s="2"/>
      <c r="F1" s="2"/>
      <c r="G1" s="2"/>
      <c r="H1" s="2"/>
    </row>
    <row r="2" customFormat="false" ht="42" hidden="false" customHeight="true" outlineLevel="0" collapsed="false">
      <c r="A2" s="3" t="s">
        <v>1</v>
      </c>
      <c r="B2" s="3"/>
      <c r="C2" s="3"/>
      <c r="D2" s="3"/>
      <c r="E2" s="3"/>
      <c r="F2" s="3"/>
      <c r="G2" s="3"/>
      <c r="H2" s="3"/>
    </row>
    <row r="3" customFormat="false" ht="15" hidden="false" customHeight="true" outlineLevel="0" collapsed="false">
      <c r="A3" s="4"/>
      <c r="B3" s="4"/>
      <c r="C3" s="4"/>
      <c r="D3" s="4"/>
    </row>
    <row r="4" customFormat="false" ht="15" hidden="false" customHeight="true" outlineLevel="0" collapsed="false">
      <c r="A4" s="5" t="s">
        <v>2</v>
      </c>
      <c r="B4" s="5" t="s">
        <v>3</v>
      </c>
      <c r="C4" s="5" t="s">
        <v>4</v>
      </c>
      <c r="D4" s="5" t="s">
        <v>5</v>
      </c>
    </row>
    <row r="5" customFormat="false" ht="27.75" hidden="false" customHeight="true" outlineLevel="0" collapsed="false">
      <c r="A5" s="6" t="s">
        <v>6</v>
      </c>
      <c r="B5" s="4" t="n">
        <f aca="false">COUNTIF('Defensible Tiering'!$J$2:$J$50,"Mini")</f>
        <v>10</v>
      </c>
      <c r="C5" s="7" t="n">
        <f aca="false">B5/$B$9</f>
        <v>0.208333333333333</v>
      </c>
      <c r="D5" s="4" t="s">
        <v>7</v>
      </c>
    </row>
    <row r="6" customFormat="false" ht="27.75" hidden="false" customHeight="true" outlineLevel="0" collapsed="false">
      <c r="A6" s="6" t="s">
        <v>8</v>
      </c>
      <c r="B6" s="4" t="n">
        <f aca="false">COUNTIF('Defensible Tiering'!$J$2:$J$50,"Standard")</f>
        <v>25</v>
      </c>
      <c r="C6" s="7" t="n">
        <f aca="false">B6/$B$9</f>
        <v>0.520833333333333</v>
      </c>
      <c r="D6" s="4" t="s">
        <v>9</v>
      </c>
    </row>
    <row r="7" customFormat="false" ht="15" hidden="false" customHeight="true" outlineLevel="0" collapsed="false">
      <c r="A7" s="6" t="s">
        <v>10</v>
      </c>
      <c r="B7" s="4" t="n">
        <f aca="false">COUNTIF('Defensible Tiering'!$J$2:$J$50,"Full")</f>
        <v>13</v>
      </c>
      <c r="C7" s="7" t="n">
        <f aca="false">B7/$B$9</f>
        <v>0.270833333333333</v>
      </c>
      <c r="D7" s="4" t="s">
        <v>11</v>
      </c>
    </row>
    <row r="8" customFormat="false" ht="15" hidden="false" customHeight="true" outlineLevel="0" collapsed="false">
      <c r="A8" s="4" t="s">
        <v>12</v>
      </c>
      <c r="B8" s="4" t="n">
        <f aca="false">COUNTIF('Defensible Tiering'!$J$2:$J$50,"Not Tiered")</f>
        <v>1</v>
      </c>
      <c r="C8" s="4"/>
      <c r="D8" s="4" t="s">
        <v>13</v>
      </c>
    </row>
    <row r="9" customFormat="false" ht="15" hidden="false" customHeight="true" outlineLevel="0" collapsed="false">
      <c r="A9" s="4" t="s">
        <v>14</v>
      </c>
      <c r="B9" s="4" t="n">
        <f aca="false">B10-B8</f>
        <v>48</v>
      </c>
      <c r="C9" s="4"/>
      <c r="D9" s="4" t="s">
        <v>15</v>
      </c>
    </row>
    <row r="10" customFormat="false" ht="15" hidden="false" customHeight="true" outlineLevel="0" collapsed="false">
      <c r="A10" s="4" t="s">
        <v>16</v>
      </c>
      <c r="B10" s="4" t="n">
        <f aca="false">COUNTA('Defensible Tiering'!$B$2:$B$50)</f>
        <v>49</v>
      </c>
      <c r="C10" s="4"/>
      <c r="D10" s="4" t="s">
        <v>17</v>
      </c>
    </row>
    <row r="11" customFormat="false" ht="15" hidden="false" customHeight="true" outlineLevel="0" collapsed="false">
      <c r="A11" s="4"/>
      <c r="B11" s="4"/>
      <c r="C11" s="4"/>
      <c r="D11" s="4"/>
    </row>
    <row r="12" customFormat="false" ht="15" hidden="false" customHeight="true" outlineLevel="0" collapsed="false">
      <c r="A12" s="4"/>
      <c r="B12" s="4"/>
      <c r="C12" s="4"/>
      <c r="D12" s="4"/>
    </row>
    <row r="13" customFormat="false" ht="15" hidden="false" customHeight="true" outlineLevel="0" collapsed="false">
      <c r="A13" s="8" t="s">
        <v>18</v>
      </c>
      <c r="B13" s="8" t="s">
        <v>19</v>
      </c>
      <c r="C13" s="8" t="s">
        <v>20</v>
      </c>
      <c r="D13" s="4"/>
    </row>
    <row r="14" customFormat="false" ht="15" hidden="false" customHeight="true" outlineLevel="0" collapsed="false">
      <c r="A14" s="4" t="s">
        <v>21</v>
      </c>
      <c r="B14" s="4" t="n">
        <f aca="false">COUNTIFS('Defensible Tiering'!$J$2:$J$50,"Mini",'Defensible Tiering'!$E$2:$E$50,"&gt;=60")</f>
        <v>0</v>
      </c>
      <c r="C14" s="4" t="s">
        <v>22</v>
      </c>
      <c r="D14" s="4"/>
    </row>
    <row r="15" customFormat="false" ht="27.75" hidden="false" customHeight="true" outlineLevel="0" collapsed="false">
      <c r="A15" s="4" t="s">
        <v>23</v>
      </c>
      <c r="B15" s="4" t="n">
        <f aca="false">COUNTIFS('Defensible Tiering'!$J$2:$J$50,"Mini",'Defensible Tiering'!$G$2:$G$50,"&gt;2.5")</f>
        <v>0</v>
      </c>
      <c r="C15" s="4" t="s">
        <v>22</v>
      </c>
      <c r="D15" s="4"/>
    </row>
    <row r="16" customFormat="false" ht="15" hidden="false" customHeight="true" outlineLevel="0" collapsed="false">
      <c r="A16" s="4" t="s">
        <v>24</v>
      </c>
      <c r="B16" s="4" t="n">
        <f aca="false">COUNTIFS('Defensible Tiering'!$J$2:$J$50,"Full",'Defensible Tiering'!$I$2:$I$50,"&lt;80")</f>
        <v>0</v>
      </c>
      <c r="C16" s="4" t="s">
        <v>22</v>
      </c>
      <c r="D16" s="4"/>
    </row>
  </sheetData>
  <mergeCells count="2">
    <mergeCell ref="A1:H1"/>
    <mergeCell ref="A2:H2"/>
  </mergeCells>
  <printOptions headings="false" gridLines="false" gridLinesSet="true" horizontalCentered="false" verticalCentered="false"/>
  <pageMargins left="0.25" right="0.25"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4"/>
    <col collapsed="false" customWidth="true" hidden="false" outlineLevel="0" max="3" min="3" style="1" width="22"/>
    <col collapsed="false" customWidth="true" hidden="false" outlineLevel="0" max="4" min="4" style="1" width="13"/>
    <col collapsed="false" customWidth="true" hidden="false" outlineLevel="0" max="5" min="5" style="1" width="42"/>
    <col collapsed="false" customWidth="true" hidden="false" outlineLevel="0" max="6" min="6" style="1" width="16"/>
    <col collapsed="false" customWidth="true" hidden="false" outlineLevel="0" max="7" min="7" style="1" width="44"/>
    <col collapsed="false" customWidth="true" hidden="false" outlineLevel="0" max="9" min="8" style="1" width="12"/>
    <col collapsed="false" customWidth="true" hidden="false" outlineLevel="0" max="10" min="10" style="1" width="44"/>
    <col collapsed="false" customWidth="true" hidden="false" outlineLevel="0" max="12" min="11" style="1" width="11"/>
    <col collapsed="false" customWidth="true" hidden="false" outlineLevel="0" max="13" min="13" style="1" width="12"/>
    <col collapsed="false" customWidth="true" hidden="false" outlineLevel="0" max="14" min="14" style="1" width="14"/>
    <col collapsed="false" customWidth="true" hidden="false" outlineLevel="0" max="15" min="15" style="1" width="16"/>
    <col collapsed="false" customWidth="true" hidden="false" outlineLevel="0" max="16" min="16" style="1" width="14"/>
    <col collapsed="false" customWidth="true" hidden="false" outlineLevel="0" max="17" min="17" style="1" width="40"/>
  </cols>
  <sheetData>
    <row r="1" customFormat="false" ht="31.5" hidden="false" customHeight="true" outlineLevel="0" collapsed="false">
      <c r="A1" s="9" t="s">
        <v>25</v>
      </c>
      <c r="B1" s="9" t="s">
        <v>26</v>
      </c>
      <c r="C1" s="9" t="s">
        <v>27</v>
      </c>
      <c r="D1" s="9" t="s">
        <v>28</v>
      </c>
      <c r="E1" s="9" t="s">
        <v>29</v>
      </c>
      <c r="F1" s="9" t="s">
        <v>30</v>
      </c>
      <c r="G1" s="9" t="s">
        <v>31</v>
      </c>
      <c r="H1" s="9" t="s">
        <v>32</v>
      </c>
      <c r="I1" s="9" t="s">
        <v>33</v>
      </c>
      <c r="J1" s="9" t="s">
        <v>34</v>
      </c>
      <c r="K1" s="9" t="s">
        <v>35</v>
      </c>
      <c r="L1" s="9" t="s">
        <v>36</v>
      </c>
      <c r="M1" s="9" t="s">
        <v>37</v>
      </c>
      <c r="N1" s="9" t="s">
        <v>38</v>
      </c>
      <c r="O1" s="9" t="s">
        <v>39</v>
      </c>
      <c r="P1" s="9" t="s">
        <v>40</v>
      </c>
      <c r="Q1" s="9" t="s">
        <v>41</v>
      </c>
      <c r="R1" s="9" t="s">
        <v>42</v>
      </c>
    </row>
    <row r="2" customFormat="false" ht="57.75" hidden="false" customHeight="true" outlineLevel="0" collapsed="false">
      <c r="A2" s="10" t="n">
        <v>1.1</v>
      </c>
      <c r="B2" s="10" t="s">
        <v>43</v>
      </c>
      <c r="C2" s="10" t="s">
        <v>44</v>
      </c>
      <c r="D2" s="10" t="s">
        <v>45</v>
      </c>
      <c r="E2" s="11" t="n">
        <v>100</v>
      </c>
      <c r="F2" s="10" t="s">
        <v>46</v>
      </c>
      <c r="G2" s="12" t="n">
        <v>3.4</v>
      </c>
      <c r="H2" s="10" t="s">
        <v>47</v>
      </c>
      <c r="I2" s="12" t="n">
        <f aca="false">ROUND(E2-(G2*2.5),0)</f>
        <v>92</v>
      </c>
      <c r="J2" s="10" t="str">
        <f aca="false">IF(D2&lt;&gt;"Active","Not Tiered",IF(I2&gt;=80,"Full",IF(AND(E2&lt;60,G2&lt;2.5),"Mini","Standard")))</f>
        <v>Full</v>
      </c>
      <c r="K2" s="10" t="str">
        <f aca="false">IF(D2&lt;&gt;"Active","Cancelled/inactive; excluded from active governance tier counts.",IF(J2="Full","Profiler band: VC "&amp;TEXT(I2,"0")&amp;" &gt;= 80, so Full governance plan is required.",IF(J2="Mini","Profiler band: Value "&amp;TEXT(E2,"0")&amp;" &lt; 60 and avg complexity "&amp;TEXT(G2,"0.0")&amp;" &lt; 2.5, so Mini is allowed.","Profiler band: VC "&amp;TEXT(I2,"0")&amp;" &lt; 80 and Mini gate not met ("&amp;IF(E2&gt;=60,"value &gt;= 60","avg complexity &gt;= 2.5")&amp;"), so Standard.")))</f>
        <v>Profiler band: VC 92 &gt;= 80, so Full governance plan is required.</v>
      </c>
      <c r="L2" s="10" t="s">
        <v>48</v>
      </c>
      <c r="M2" s="10" t="s">
        <v>49</v>
      </c>
      <c r="N2" s="10" t="s">
        <v>50</v>
      </c>
      <c r="O2" s="10" t="s">
        <v>51</v>
      </c>
      <c r="P2" s="10" t="s">
        <v>52</v>
      </c>
      <c r="Q2" s="10" t="s">
        <v>53</v>
      </c>
      <c r="R2" s="10" t="s">
        <v>54</v>
      </c>
    </row>
    <row r="3" customFormat="false" ht="57.75" hidden="false" customHeight="true" outlineLevel="0" collapsed="false">
      <c r="A3" s="10" t="n">
        <v>1.2</v>
      </c>
      <c r="B3" s="10" t="s">
        <v>55</v>
      </c>
      <c r="C3" s="10" t="s">
        <v>56</v>
      </c>
      <c r="D3" s="10" t="s">
        <v>45</v>
      </c>
      <c r="E3" s="11" t="n">
        <v>100</v>
      </c>
      <c r="F3" s="10" t="s">
        <v>57</v>
      </c>
      <c r="G3" s="12" t="n">
        <v>2.7</v>
      </c>
      <c r="H3" s="10" t="s">
        <v>58</v>
      </c>
      <c r="I3" s="12" t="n">
        <f aca="false">ROUND(E3-(G3*2.5),0)</f>
        <v>93</v>
      </c>
      <c r="J3" s="10" t="str">
        <f aca="false">IF(D3&lt;&gt;"Active","Not Tiered",IF(I3&gt;=80,"Full",IF(AND(E3&lt;60,G3&lt;2.5),"Mini","Standard")))</f>
        <v>Full</v>
      </c>
      <c r="K3" s="10" t="str">
        <f aca="false">IF(D3&lt;&gt;"Active","Cancelled/inactive; excluded from active governance tier counts.",IF(J3="Full","Profiler band: VC "&amp;TEXT(I3,"0")&amp;" &gt;= 80, so Full governance plan is required.",IF(J3="Mini","Profiler band: Value "&amp;TEXT(E3,"0")&amp;" &lt; 60 and avg complexity "&amp;TEXT(G3,"0.0")&amp;" &lt; 2.5, so Mini is allowed.","Profiler band: VC "&amp;TEXT(I3,"0")&amp;" &lt; 80 and Mini gate not met ("&amp;IF(E3&gt;=60,"value &gt;= 60","avg complexity &gt;= 2.5")&amp;"), so Standard.")))</f>
        <v>Profiler band: VC 93 &gt;= 80, so Full governance plan is required.</v>
      </c>
      <c r="L3" s="10" t="s">
        <v>48</v>
      </c>
      <c r="M3" s="10" t="s">
        <v>49</v>
      </c>
      <c r="N3" s="10" t="s">
        <v>59</v>
      </c>
      <c r="O3" s="10" t="s">
        <v>51</v>
      </c>
      <c r="P3" s="10" t="s">
        <v>52</v>
      </c>
      <c r="Q3" s="10" t="s">
        <v>53</v>
      </c>
      <c r="R3" s="10"/>
    </row>
    <row r="4" customFormat="false" ht="57.75" hidden="false" customHeight="true" outlineLevel="0" collapsed="false">
      <c r="A4" s="10" t="n">
        <v>1.3</v>
      </c>
      <c r="B4" s="10" t="s">
        <v>60</v>
      </c>
      <c r="C4" s="10" t="s">
        <v>61</v>
      </c>
      <c r="D4" s="10" t="s">
        <v>45</v>
      </c>
      <c r="E4" s="11" t="n">
        <v>100</v>
      </c>
      <c r="F4" s="10" t="s">
        <v>62</v>
      </c>
      <c r="G4" s="12" t="n">
        <v>3.4</v>
      </c>
      <c r="H4" s="10" t="s">
        <v>63</v>
      </c>
      <c r="I4" s="12" t="n">
        <f aca="false">ROUND(E4-(G4*2.5),0)</f>
        <v>92</v>
      </c>
      <c r="J4" s="10" t="str">
        <f aca="false">IF(D4&lt;&gt;"Active","Not Tiered",IF(I4&gt;=80,"Full",IF(AND(E4&lt;60,G4&lt;2.5),"Mini","Standard")))</f>
        <v>Full</v>
      </c>
      <c r="K4" s="10" t="str">
        <f aca="false">IF(D4&lt;&gt;"Active","Cancelled/inactive; excluded from active governance tier counts.",IF(J4="Full","Profiler band: VC "&amp;TEXT(I4,"0")&amp;" &gt;= 80, so Full governance plan is required.",IF(J4="Mini","Profiler band: Value "&amp;TEXT(E4,"0")&amp;" &lt; 60 and avg complexity "&amp;TEXT(G4,"0.0")&amp;" &lt; 2.5, so Mini is allowed.","Profiler band: VC "&amp;TEXT(I4,"0")&amp;" &lt; 80 and Mini gate not met ("&amp;IF(E4&gt;=60,"value &gt;= 60","avg complexity &gt;= 2.5")&amp;"), so Standard.")))</f>
        <v>Profiler band: VC 92 &gt;= 80, so Full governance plan is required.</v>
      </c>
      <c r="L4" s="10" t="s">
        <v>48</v>
      </c>
      <c r="M4" s="10" t="s">
        <v>49</v>
      </c>
      <c r="N4" s="10" t="s">
        <v>59</v>
      </c>
      <c r="O4" s="10" t="s">
        <v>51</v>
      </c>
      <c r="P4" s="10" t="s">
        <v>64</v>
      </c>
      <c r="Q4" s="10" t="s">
        <v>65</v>
      </c>
      <c r="R4" s="10" t="s">
        <v>66</v>
      </c>
    </row>
    <row r="5" customFormat="false" ht="57.75" hidden="false" customHeight="true" outlineLevel="0" collapsed="false">
      <c r="A5" s="10" t="n">
        <v>1.4</v>
      </c>
      <c r="B5" s="10" t="s">
        <v>67</v>
      </c>
      <c r="C5" s="10" t="s">
        <v>68</v>
      </c>
      <c r="D5" s="10" t="s">
        <v>45</v>
      </c>
      <c r="E5" s="11" t="n">
        <v>100</v>
      </c>
      <c r="F5" s="10" t="s">
        <v>69</v>
      </c>
      <c r="G5" s="12" t="n">
        <v>2.7</v>
      </c>
      <c r="H5" s="10" t="s">
        <v>70</v>
      </c>
      <c r="I5" s="12" t="n">
        <f aca="false">ROUND(E5-(G5*2.5),0)</f>
        <v>93</v>
      </c>
      <c r="J5" s="10" t="str">
        <f aca="false">IF(D5&lt;&gt;"Active","Not Tiered",IF(I5&gt;=80,"Full",IF(AND(E5&lt;60,G5&lt;2.5),"Mini","Standard")))</f>
        <v>Full</v>
      </c>
      <c r="K5" s="10" t="str">
        <f aca="false">IF(D5&lt;&gt;"Active","Cancelled/inactive; excluded from active governance tier counts.",IF(J5="Full","Profiler band: VC "&amp;TEXT(I5,"0")&amp;" &gt;= 80, so Full governance plan is required.",IF(J5="Mini","Profiler band: Value "&amp;TEXT(E5,"0")&amp;" &lt; 60 and avg complexity "&amp;TEXT(G5,"0.0")&amp;" &lt; 2.5, so Mini is allowed.","Profiler band: VC "&amp;TEXT(I5,"0")&amp;" &lt; 80 and Mini gate not met ("&amp;IF(E5&gt;=60,"value &gt;= 60","avg complexity &gt;= 2.5")&amp;"), so Standard.")))</f>
        <v>Profiler band: VC 93 &gt;= 80, so Full governance plan is required.</v>
      </c>
      <c r="L5" s="10" t="s">
        <v>48</v>
      </c>
      <c r="M5" s="10" t="s">
        <v>49</v>
      </c>
      <c r="N5" s="10" t="s">
        <v>59</v>
      </c>
      <c r="O5" s="10" t="s">
        <v>51</v>
      </c>
      <c r="P5" s="10" t="s">
        <v>64</v>
      </c>
      <c r="Q5" s="10" t="s">
        <v>53</v>
      </c>
      <c r="R5" s="10" t="s">
        <v>71</v>
      </c>
    </row>
    <row r="6" customFormat="false" ht="57.75" hidden="false" customHeight="true" outlineLevel="0" collapsed="false">
      <c r="A6" s="10" t="n">
        <v>1.5</v>
      </c>
      <c r="B6" s="10" t="s">
        <v>72</v>
      </c>
      <c r="C6" s="10" t="s">
        <v>73</v>
      </c>
      <c r="D6" s="10" t="s">
        <v>45</v>
      </c>
      <c r="E6" s="11" t="n">
        <v>100</v>
      </c>
      <c r="F6" s="10" t="s">
        <v>74</v>
      </c>
      <c r="G6" s="12" t="n">
        <v>3.4</v>
      </c>
      <c r="H6" s="10" t="s">
        <v>75</v>
      </c>
      <c r="I6" s="12" t="n">
        <f aca="false">ROUND(E6-(G6*2.5),0)</f>
        <v>92</v>
      </c>
      <c r="J6" s="10" t="str">
        <f aca="false">IF(D6&lt;&gt;"Active","Not Tiered",IF(I6&gt;=80,"Full",IF(AND(E6&lt;60,G6&lt;2.5),"Mini","Standard")))</f>
        <v>Full</v>
      </c>
      <c r="K6" s="10" t="str">
        <f aca="false">IF(D6&lt;&gt;"Active","Cancelled/inactive; excluded from active governance tier counts.",IF(J6="Full","Profiler band: VC "&amp;TEXT(I6,"0")&amp;" &gt;= 80, so Full governance plan is required.",IF(J6="Mini","Profiler band: Value "&amp;TEXT(E6,"0")&amp;" &lt; 60 and avg complexity "&amp;TEXT(G6,"0.0")&amp;" &lt; 2.5, so Mini is allowed.","Profiler band: VC "&amp;TEXT(I6,"0")&amp;" &lt; 80 and Mini gate not met ("&amp;IF(E6&gt;=60,"value &gt;= 60","avg complexity &gt;= 2.5")&amp;"), so Standard.")))</f>
        <v>Profiler band: VC 92 &gt;= 80, so Full governance plan is required.</v>
      </c>
      <c r="L6" s="10" t="s">
        <v>48</v>
      </c>
      <c r="M6" s="10" t="s">
        <v>49</v>
      </c>
      <c r="N6" s="10" t="s">
        <v>59</v>
      </c>
      <c r="O6" s="10" t="s">
        <v>51</v>
      </c>
      <c r="P6" s="10" t="s">
        <v>76</v>
      </c>
      <c r="Q6" s="10" t="s">
        <v>65</v>
      </c>
      <c r="R6" s="10" t="s">
        <v>77</v>
      </c>
    </row>
    <row r="7" customFormat="false" ht="57.75" hidden="false" customHeight="true" outlineLevel="0" collapsed="false">
      <c r="A7" s="10" t="n">
        <v>2</v>
      </c>
      <c r="B7" s="10" t="s">
        <v>78</v>
      </c>
      <c r="C7" s="10" t="s">
        <v>79</v>
      </c>
      <c r="D7" s="10" t="s">
        <v>45</v>
      </c>
      <c r="E7" s="11" t="n">
        <v>93</v>
      </c>
      <c r="F7" s="10" t="s">
        <v>80</v>
      </c>
      <c r="G7" s="12" t="n">
        <v>2.7</v>
      </c>
      <c r="H7" s="10" t="s">
        <v>81</v>
      </c>
      <c r="I7" s="12" t="n">
        <f aca="false">ROUND(E7-(G7*2.5),0)</f>
        <v>86</v>
      </c>
      <c r="J7" s="10" t="str">
        <f aca="false">IF(D7&lt;&gt;"Active","Not Tiered",IF(I7&gt;=80,"Full",IF(AND(E7&lt;60,G7&lt;2.5),"Mini","Standard")))</f>
        <v>Full</v>
      </c>
      <c r="K7" s="10" t="str">
        <f aca="false">IF(D7&lt;&gt;"Active","Cancelled/inactive; excluded from active governance tier counts.",IF(J7="Full","Profiler band: VC "&amp;TEXT(I7,"0")&amp;" &gt;= 80, so Full governance plan is required.",IF(J7="Mini","Profiler band: Value "&amp;TEXT(E7,"0")&amp;" &lt; 60 and avg complexity "&amp;TEXT(G7,"0.0")&amp;" &lt; 2.5, so Mini is allowed.","Profiler band: VC "&amp;TEXT(I7,"0")&amp;" &lt; 80 and Mini gate not met ("&amp;IF(E7&gt;=60,"value &gt;= 60","avg complexity &gt;= 2.5")&amp;"), so Standard.")))</f>
        <v>Profiler band: VC 86 &gt;= 80, so Full governance plan is required.</v>
      </c>
      <c r="L7" s="10" t="s">
        <v>48</v>
      </c>
      <c r="M7" s="10" t="s">
        <v>49</v>
      </c>
      <c r="N7" s="10" t="s">
        <v>59</v>
      </c>
      <c r="O7" s="10" t="s">
        <v>82</v>
      </c>
      <c r="P7" s="10" t="s">
        <v>83</v>
      </c>
      <c r="Q7" s="10" t="s">
        <v>84</v>
      </c>
      <c r="R7" s="10" t="s">
        <v>85</v>
      </c>
    </row>
    <row r="8" customFormat="false" ht="57.75" hidden="false" customHeight="true" outlineLevel="0" collapsed="false">
      <c r="A8" s="10" t="n">
        <v>3</v>
      </c>
      <c r="B8" s="10" t="s">
        <v>86</v>
      </c>
      <c r="C8" s="10" t="s">
        <v>79</v>
      </c>
      <c r="D8" s="10" t="s">
        <v>45</v>
      </c>
      <c r="E8" s="11" t="n">
        <v>88</v>
      </c>
      <c r="F8" s="10" t="s">
        <v>87</v>
      </c>
      <c r="G8" s="12" t="n">
        <v>2.7</v>
      </c>
      <c r="H8" s="10" t="s">
        <v>88</v>
      </c>
      <c r="I8" s="12" t="n">
        <f aca="false">ROUND(E8-(G8*2.5),0)</f>
        <v>81</v>
      </c>
      <c r="J8" s="10" t="str">
        <f aca="false">IF(D8&lt;&gt;"Active","Not Tiered",IF(I8&gt;=80,"Full",IF(AND(E8&lt;60,G8&lt;2.5),"Mini","Standard")))</f>
        <v>Full</v>
      </c>
      <c r="K8" s="10" t="str">
        <f aca="false">IF(D8&lt;&gt;"Active","Cancelled/inactive; excluded from active governance tier counts.",IF(J8="Full","Profiler band: VC "&amp;TEXT(I8,"0")&amp;" &gt;= 80, so Full governance plan is required.",IF(J8="Mini","Profiler band: Value "&amp;TEXT(E8,"0")&amp;" &lt; 60 and avg complexity "&amp;TEXT(G8,"0.0")&amp;" &lt; 2.5, so Mini is allowed.","Profiler band: VC "&amp;TEXT(I8,"0")&amp;" &lt; 80 and Mini gate not met ("&amp;IF(E8&gt;=60,"value &gt;= 60","avg complexity &gt;= 2.5")&amp;"), so Standard.")))</f>
        <v>Profiler band: VC 81 &gt;= 80, so Full governance plan is required.</v>
      </c>
      <c r="L8" s="10" t="s">
        <v>89</v>
      </c>
      <c r="M8" s="10" t="s">
        <v>49</v>
      </c>
      <c r="N8" s="10" t="s">
        <v>59</v>
      </c>
      <c r="O8" s="10" t="s">
        <v>82</v>
      </c>
      <c r="P8" s="10" t="s">
        <v>83</v>
      </c>
      <c r="Q8" s="10" t="s">
        <v>84</v>
      </c>
      <c r="R8" s="10"/>
    </row>
    <row r="9" customFormat="false" ht="57.75" hidden="false" customHeight="true" outlineLevel="0" collapsed="false">
      <c r="A9" s="10" t="n">
        <v>4</v>
      </c>
      <c r="B9" s="10" t="s">
        <v>90</v>
      </c>
      <c r="C9" s="10" t="s">
        <v>79</v>
      </c>
      <c r="D9" s="10" t="s">
        <v>45</v>
      </c>
      <c r="E9" s="11" t="n">
        <v>80</v>
      </c>
      <c r="F9" s="10" t="s">
        <v>91</v>
      </c>
      <c r="G9" s="12" t="n">
        <v>2</v>
      </c>
      <c r="H9" s="10" t="s">
        <v>92</v>
      </c>
      <c r="I9" s="12" t="n">
        <f aca="false">ROUND(E9-(G9*2.5),0)</f>
        <v>75</v>
      </c>
      <c r="J9" s="10" t="str">
        <f aca="false">IF(D9&lt;&gt;"Active","Not Tiered",IF(I9&gt;=80,"Full",IF(AND(E9&lt;60,G9&lt;2.5),"Mini","Standard")))</f>
        <v>Standard</v>
      </c>
      <c r="K9" s="10" t="str">
        <f aca="false">IF(D9&lt;&gt;"Active","Cancelled/inactive; excluded from active governance tier counts.",IF(J9="Full","Profiler band: VC "&amp;TEXT(I9,"0")&amp;" &gt;= 80, so Full governance plan is required.",IF(J9="Mini","Profiler band: Value "&amp;TEXT(E9,"0")&amp;" &lt; 60 and avg complexity "&amp;TEXT(G9,"0.0")&amp;" &lt; 2.5, so Mini is allowed.","Profiler band: VC "&amp;TEXT(I9,"0")&amp;" &lt; 80 and Mini gate not met ("&amp;IF(E9&gt;=60,"value &gt;= 60","avg complexity &gt;= 2.5")&amp;"), so Standard.")))</f>
        <v>Profiler band: VC 75 &lt; 80 and Mini gate not met (value &gt;= 60), so Standard.</v>
      </c>
      <c r="L9" s="10" t="s">
        <v>89</v>
      </c>
      <c r="M9" s="10" t="s">
        <v>49</v>
      </c>
      <c r="N9" s="10" t="s">
        <v>59</v>
      </c>
      <c r="O9" s="10" t="s">
        <v>51</v>
      </c>
      <c r="P9" s="10" t="s">
        <v>83</v>
      </c>
      <c r="Q9" s="10" t="s">
        <v>84</v>
      </c>
      <c r="R9" s="10"/>
    </row>
    <row r="10" customFormat="false" ht="57.75" hidden="false" customHeight="true" outlineLevel="0" collapsed="false">
      <c r="A10" s="10" t="n">
        <v>5</v>
      </c>
      <c r="B10" s="10" t="s">
        <v>93</v>
      </c>
      <c r="C10" s="10" t="s">
        <v>94</v>
      </c>
      <c r="D10" s="10" t="s">
        <v>45</v>
      </c>
      <c r="E10" s="11" t="n">
        <v>94</v>
      </c>
      <c r="F10" s="10" t="s">
        <v>95</v>
      </c>
      <c r="G10" s="12" t="n">
        <v>2.7</v>
      </c>
      <c r="H10" s="10" t="s">
        <v>96</v>
      </c>
      <c r="I10" s="12" t="n">
        <f aca="false">ROUND(E10-(G10*2.5),0)</f>
        <v>87</v>
      </c>
      <c r="J10" s="10" t="str">
        <f aca="false">IF(D10&lt;&gt;"Active","Not Tiered",IF(I10&gt;=80,"Full",IF(AND(E10&lt;60,G10&lt;2.5),"Mini","Standard")))</f>
        <v>Full</v>
      </c>
      <c r="K10" s="10" t="str">
        <f aca="false">IF(D10&lt;&gt;"Active","Cancelled/inactive; excluded from active governance tier counts.",IF(J10="Full","Profiler band: VC "&amp;TEXT(I10,"0")&amp;" &gt;= 80, so Full governance plan is required.",IF(J10="Mini","Profiler band: Value "&amp;TEXT(E10,"0")&amp;" &lt; 60 and avg complexity "&amp;TEXT(G10,"0.0")&amp;" &lt; 2.5, so Mini is allowed.","Profiler band: VC "&amp;TEXT(I10,"0")&amp;" &lt; 80 and Mini gate not met ("&amp;IF(E10&gt;=60,"value &gt;= 60","avg complexity &gt;= 2.5")&amp;"), so Standard.")))</f>
        <v>Profiler band: VC 87 &gt;= 80, so Full governance plan is required.</v>
      </c>
      <c r="L10" s="10" t="s">
        <v>48</v>
      </c>
      <c r="M10" s="10" t="s">
        <v>49</v>
      </c>
      <c r="N10" s="10" t="s">
        <v>59</v>
      </c>
      <c r="O10" s="10" t="s">
        <v>82</v>
      </c>
      <c r="P10" s="10" t="s">
        <v>76</v>
      </c>
      <c r="Q10" s="10" t="s">
        <v>84</v>
      </c>
      <c r="R10" s="10"/>
    </row>
    <row r="11" customFormat="false" ht="57.75" hidden="false" customHeight="true" outlineLevel="0" collapsed="false">
      <c r="A11" s="10" t="n">
        <v>6</v>
      </c>
      <c r="B11" s="10" t="s">
        <v>97</v>
      </c>
      <c r="C11" s="10" t="s">
        <v>98</v>
      </c>
      <c r="D11" s="10" t="s">
        <v>45</v>
      </c>
      <c r="E11" s="11" t="n">
        <v>96</v>
      </c>
      <c r="F11" s="10" t="s">
        <v>99</v>
      </c>
      <c r="G11" s="12" t="n">
        <v>3.4</v>
      </c>
      <c r="H11" s="10" t="s">
        <v>100</v>
      </c>
      <c r="I11" s="12" t="n">
        <f aca="false">ROUND(E11-(G11*2.5),0)</f>
        <v>88</v>
      </c>
      <c r="J11" s="10" t="str">
        <f aca="false">IF(D11&lt;&gt;"Active","Not Tiered",IF(I11&gt;=80,"Full",IF(AND(E11&lt;60,G11&lt;2.5),"Mini","Standard")))</f>
        <v>Full</v>
      </c>
      <c r="K11" s="10" t="str">
        <f aca="false">IF(D11&lt;&gt;"Active","Cancelled/inactive; excluded from active governance tier counts.",IF(J11="Full","Profiler band: VC "&amp;TEXT(I11,"0")&amp;" &gt;= 80, so Full governance plan is required.",IF(J11="Mini","Profiler band: Value "&amp;TEXT(E11,"0")&amp;" &lt; 60 and avg complexity "&amp;TEXT(G11,"0.0")&amp;" &lt; 2.5, so Mini is allowed.","Profiler band: VC "&amp;TEXT(I11,"0")&amp;" &lt; 80 and Mini gate not met ("&amp;IF(E11&gt;=60,"value &gt;= 60","avg complexity &gt;= 2.5")&amp;"), so Standard.")))</f>
        <v>Profiler band: VC 88 &gt;= 80, so Full governance plan is required.</v>
      </c>
      <c r="L11" s="10" t="s">
        <v>48</v>
      </c>
      <c r="M11" s="10" t="s">
        <v>49</v>
      </c>
      <c r="N11" s="10" t="s">
        <v>59</v>
      </c>
      <c r="O11" s="10" t="s">
        <v>101</v>
      </c>
      <c r="P11" s="10" t="s">
        <v>52</v>
      </c>
      <c r="Q11" s="10" t="s">
        <v>84</v>
      </c>
      <c r="R11" s="10" t="s">
        <v>102</v>
      </c>
    </row>
    <row r="12" customFormat="false" ht="57.75" hidden="false" customHeight="true" outlineLevel="0" collapsed="false">
      <c r="A12" s="10" t="n">
        <v>7</v>
      </c>
      <c r="B12" s="10" t="s">
        <v>103</v>
      </c>
      <c r="C12" s="10" t="s">
        <v>104</v>
      </c>
      <c r="D12" s="10" t="s">
        <v>45</v>
      </c>
      <c r="E12" s="11" t="n">
        <v>58</v>
      </c>
      <c r="F12" s="10" t="s">
        <v>105</v>
      </c>
      <c r="G12" s="12" t="n">
        <v>2</v>
      </c>
      <c r="H12" s="10" t="s">
        <v>106</v>
      </c>
      <c r="I12" s="12" t="n">
        <f aca="false">ROUND(E12-(G12*2.5),0)</f>
        <v>53</v>
      </c>
      <c r="J12" s="10" t="str">
        <f aca="false">IF(D12&lt;&gt;"Active","Not Tiered",IF(I12&gt;=80,"Full",IF(AND(E12&lt;60,G12&lt;2.5),"Mini","Standard")))</f>
        <v>Mini</v>
      </c>
      <c r="K12" s="10" t="str">
        <f aca="false">IF(D12&lt;&gt;"Active","Cancelled/inactive; excluded from active governance tier counts.",IF(J12="Full","Profiler band: VC "&amp;TEXT(I12,"0")&amp;" &gt;= 80, so Full governance plan is required.",IF(J12="Mini","Profiler band: Value "&amp;TEXT(E12,"0")&amp;" &lt; 60 and avg complexity "&amp;TEXT(G12,"0.0")&amp;" &lt; 2.5, so Mini is allowed.","Profiler band: VC "&amp;TEXT(I12,"0")&amp;" &lt; 80 and Mini gate not met ("&amp;IF(E12&gt;=60,"value &gt;= 60","avg complexity &gt;= 2.5")&amp;"), so Standard.")))</f>
        <v>Profiler band: Value 58 &lt; 60 and avg complexity 2.0 &lt; 2.5, so Mini is allowed.</v>
      </c>
      <c r="L12" s="10" t="s">
        <v>48</v>
      </c>
      <c r="M12" s="10" t="s">
        <v>49</v>
      </c>
      <c r="N12" s="10" t="s">
        <v>59</v>
      </c>
      <c r="O12" s="10" t="s">
        <v>107</v>
      </c>
      <c r="P12" s="10" t="s">
        <v>52</v>
      </c>
      <c r="Q12" s="10" t="s">
        <v>84</v>
      </c>
      <c r="R12" s="10" t="s">
        <v>108</v>
      </c>
    </row>
    <row r="13" customFormat="false" ht="57.75" hidden="false" customHeight="true" outlineLevel="0" collapsed="false">
      <c r="A13" s="10" t="n">
        <v>8</v>
      </c>
      <c r="B13" s="10" t="s">
        <v>109</v>
      </c>
      <c r="C13" s="10" t="s">
        <v>110</v>
      </c>
      <c r="D13" s="10" t="s">
        <v>45</v>
      </c>
      <c r="E13" s="11" t="n">
        <v>95</v>
      </c>
      <c r="F13" s="10" t="s">
        <v>111</v>
      </c>
      <c r="G13" s="12" t="n">
        <v>3.3</v>
      </c>
      <c r="H13" s="10" t="s">
        <v>112</v>
      </c>
      <c r="I13" s="12" t="n">
        <f aca="false">ROUND(E13-(G13*2.5),0)</f>
        <v>87</v>
      </c>
      <c r="J13" s="10" t="str">
        <f aca="false">IF(D13&lt;&gt;"Active","Not Tiered",IF(I13&gt;=80,"Full",IF(AND(E13&lt;60,G13&lt;2.5),"Mini","Standard")))</f>
        <v>Full</v>
      </c>
      <c r="K13" s="10" t="str">
        <f aca="false">IF(D13&lt;&gt;"Active","Cancelled/inactive; excluded from active governance tier counts.",IF(J13="Full","Profiler band: VC "&amp;TEXT(I13,"0")&amp;" &gt;= 80, so Full governance plan is required.",IF(J13="Mini","Profiler band: Value "&amp;TEXT(E13,"0")&amp;" &lt; 60 and avg complexity "&amp;TEXT(G13,"0.0")&amp;" &lt; 2.5, so Mini is allowed.","Profiler band: VC "&amp;TEXT(I13,"0")&amp;" &lt; 80 and Mini gate not met ("&amp;IF(E13&gt;=60,"value &gt;= 60","avg complexity &gt;= 2.5")&amp;"), so Standard.")))</f>
        <v>Profiler band: VC 87 &gt;= 80, so Full governance plan is required.</v>
      </c>
      <c r="L13" s="10" t="s">
        <v>48</v>
      </c>
      <c r="M13" s="10" t="s">
        <v>113</v>
      </c>
      <c r="N13" s="10" t="s">
        <v>114</v>
      </c>
      <c r="O13" s="10" t="s">
        <v>115</v>
      </c>
      <c r="P13" s="10" t="s">
        <v>52</v>
      </c>
      <c r="Q13" s="10" t="s">
        <v>116</v>
      </c>
      <c r="R13" s="10" t="s">
        <v>117</v>
      </c>
    </row>
    <row r="14" customFormat="false" ht="57.75" hidden="false" customHeight="true" outlineLevel="0" collapsed="false">
      <c r="A14" s="10" t="n">
        <v>9</v>
      </c>
      <c r="B14" s="10" t="s">
        <v>118</v>
      </c>
      <c r="C14" s="10" t="s">
        <v>119</v>
      </c>
      <c r="D14" s="10" t="s">
        <v>45</v>
      </c>
      <c r="E14" s="11" t="n">
        <v>87</v>
      </c>
      <c r="F14" s="10" t="s">
        <v>120</v>
      </c>
      <c r="G14" s="12" t="n">
        <v>3.3</v>
      </c>
      <c r="H14" s="10" t="s">
        <v>121</v>
      </c>
      <c r="I14" s="12" t="n">
        <f aca="false">ROUND(E14-(G14*2.5),0)</f>
        <v>79</v>
      </c>
      <c r="J14" s="10" t="str">
        <f aca="false">IF(D14&lt;&gt;"Active","Not Tiered",IF(I14&gt;=80,"Full",IF(AND(E14&lt;60,G14&lt;2.5),"Mini","Standard")))</f>
        <v>Standard</v>
      </c>
      <c r="K14" s="10" t="str">
        <f aca="false">IF(D14&lt;&gt;"Active","Cancelled/inactive; excluded from active governance tier counts.",IF(J14="Full","Profiler band: VC "&amp;TEXT(I14,"0")&amp;" &gt;= 80, so Full governance plan is required.",IF(J14="Mini","Profiler band: Value "&amp;TEXT(E14,"0")&amp;" &lt; 60 and avg complexity "&amp;TEXT(G14,"0.0")&amp;" &lt; 2.5, so Mini is allowed.","Profiler band: VC "&amp;TEXT(I14,"0")&amp;" &lt; 80 and Mini gate not met ("&amp;IF(E14&gt;=60,"value &gt;= 60","avg complexity &gt;= 2.5")&amp;"), so Standard.")))</f>
        <v>Profiler band: VC 79 &lt; 80 and Mini gate not met (value &gt;= 60), so Standard.</v>
      </c>
      <c r="L14" s="10" t="s">
        <v>89</v>
      </c>
      <c r="M14" s="10" t="s">
        <v>113</v>
      </c>
      <c r="N14" s="10" t="s">
        <v>59</v>
      </c>
      <c r="O14" s="10" t="s">
        <v>122</v>
      </c>
      <c r="P14" s="10" t="s">
        <v>83</v>
      </c>
      <c r="Q14" s="10" t="s">
        <v>65</v>
      </c>
      <c r="R14" s="10" t="s">
        <v>123</v>
      </c>
    </row>
    <row r="15" customFormat="false" ht="57.75" hidden="false" customHeight="true" outlineLevel="0" collapsed="false">
      <c r="A15" s="10" t="n">
        <v>10</v>
      </c>
      <c r="B15" s="10" t="s">
        <v>124</v>
      </c>
      <c r="C15" s="10" t="s">
        <v>125</v>
      </c>
      <c r="D15" s="10" t="s">
        <v>45</v>
      </c>
      <c r="E15" s="11" t="n">
        <v>90</v>
      </c>
      <c r="F15" s="10" t="s">
        <v>126</v>
      </c>
      <c r="G15" s="12" t="n">
        <v>3.4</v>
      </c>
      <c r="H15" s="10" t="s">
        <v>127</v>
      </c>
      <c r="I15" s="12" t="n">
        <f aca="false">ROUND(E15-(G15*2.5),0)</f>
        <v>82</v>
      </c>
      <c r="J15" s="10" t="str">
        <f aca="false">IF(D15&lt;&gt;"Active","Not Tiered",IF(I15&gt;=80,"Full",IF(AND(E15&lt;60,G15&lt;2.5),"Mini","Standard")))</f>
        <v>Full</v>
      </c>
      <c r="K15" s="10" t="str">
        <f aca="false">IF(D15&lt;&gt;"Active","Cancelled/inactive; excluded from active governance tier counts.",IF(J15="Full","Profiler band: VC "&amp;TEXT(I15,"0")&amp;" &gt;= 80, so Full governance plan is required.",IF(J15="Mini","Profiler band: Value "&amp;TEXT(E15,"0")&amp;" &lt; 60 and avg complexity "&amp;TEXT(G15,"0.0")&amp;" &lt; 2.5, so Mini is allowed.","Profiler band: VC "&amp;TEXT(I15,"0")&amp;" &lt; 80 and Mini gate not met ("&amp;IF(E15&gt;=60,"value &gt;= 60","avg complexity &gt;= 2.5")&amp;"), so Standard.")))</f>
        <v>Profiler band: VC 82 &gt;= 80, so Full governance plan is required.</v>
      </c>
      <c r="L15" s="10" t="s">
        <v>89</v>
      </c>
      <c r="M15" s="10" t="s">
        <v>49</v>
      </c>
      <c r="N15" s="10" t="s">
        <v>59</v>
      </c>
      <c r="O15" s="10" t="s">
        <v>51</v>
      </c>
      <c r="P15" s="10" t="s">
        <v>83</v>
      </c>
      <c r="Q15" s="10" t="s">
        <v>84</v>
      </c>
      <c r="R15" s="10"/>
    </row>
    <row r="16" customFormat="false" ht="57.75" hidden="false" customHeight="true" outlineLevel="0" collapsed="false">
      <c r="A16" s="10" t="n">
        <v>11</v>
      </c>
      <c r="B16" s="10" t="s">
        <v>128</v>
      </c>
      <c r="C16" s="10" t="s">
        <v>129</v>
      </c>
      <c r="D16" s="10" t="s">
        <v>45</v>
      </c>
      <c r="E16" s="11" t="n">
        <v>64</v>
      </c>
      <c r="F16" s="10" t="s">
        <v>130</v>
      </c>
      <c r="G16" s="12" t="n">
        <v>2.3</v>
      </c>
      <c r="H16" s="10" t="s">
        <v>131</v>
      </c>
      <c r="I16" s="12" t="n">
        <f aca="false">ROUND(E16-(G16*2.5),0)</f>
        <v>58</v>
      </c>
      <c r="J16" s="10" t="str">
        <f aca="false">IF(D16&lt;&gt;"Active","Not Tiered",IF(I16&gt;=80,"Full",IF(AND(E16&lt;60,G16&lt;2.5),"Mini","Standard")))</f>
        <v>Standard</v>
      </c>
      <c r="K16" s="10" t="str">
        <f aca="false">IF(D16&lt;&gt;"Active","Cancelled/inactive; excluded from active governance tier counts.",IF(J16="Full","Profiler band: VC "&amp;TEXT(I16,"0")&amp;" &gt;= 80, so Full governance plan is required.",IF(J16="Mini","Profiler band: Value "&amp;TEXT(E16,"0")&amp;" &lt; 60 and avg complexity "&amp;TEXT(G16,"0.0")&amp;" &lt; 2.5, so Mini is allowed.","Profiler band: VC "&amp;TEXT(I16,"0")&amp;" &lt; 80 and Mini gate not met ("&amp;IF(E16&gt;=60,"value &gt;= 60","avg complexity &gt;= 2.5")&amp;"), so Standard.")))</f>
        <v>Profiler band: VC 58 &lt; 80 and Mini gate not met (value &gt;= 60), so Standard.</v>
      </c>
      <c r="L16" s="10" t="s">
        <v>89</v>
      </c>
      <c r="M16" s="10" t="s">
        <v>49</v>
      </c>
      <c r="N16" s="10" t="s">
        <v>59</v>
      </c>
      <c r="O16" s="10" t="s">
        <v>132</v>
      </c>
      <c r="P16" s="10" t="s">
        <v>52</v>
      </c>
      <c r="Q16" s="10" t="s">
        <v>84</v>
      </c>
      <c r="R16" s="10" t="s">
        <v>133</v>
      </c>
    </row>
    <row r="17" customFormat="false" ht="57.75" hidden="false" customHeight="true" outlineLevel="0" collapsed="false">
      <c r="A17" s="10" t="n">
        <v>12</v>
      </c>
      <c r="B17" s="10" t="s">
        <v>134</v>
      </c>
      <c r="C17" s="10" t="s">
        <v>135</v>
      </c>
      <c r="D17" s="10" t="s">
        <v>45</v>
      </c>
      <c r="E17" s="11" t="n">
        <v>100</v>
      </c>
      <c r="F17" s="10" t="s">
        <v>136</v>
      </c>
      <c r="G17" s="12" t="n">
        <v>3.4</v>
      </c>
      <c r="H17" s="10" t="s">
        <v>137</v>
      </c>
      <c r="I17" s="12" t="n">
        <f aca="false">ROUND(E17-(G17*2.5),0)</f>
        <v>92</v>
      </c>
      <c r="J17" s="10" t="str">
        <f aca="false">IF(D17&lt;&gt;"Active","Not Tiered",IF(I17&gt;=80,"Full",IF(AND(E17&lt;60,G17&lt;2.5),"Mini","Standard")))</f>
        <v>Full</v>
      </c>
      <c r="K17" s="10" t="str">
        <f aca="false">IF(D17&lt;&gt;"Active","Cancelled/inactive; excluded from active governance tier counts.",IF(J17="Full","Profiler band: VC "&amp;TEXT(I17,"0")&amp;" &gt;= 80, so Full governance plan is required.",IF(J17="Mini","Profiler band: Value "&amp;TEXT(E17,"0")&amp;" &lt; 60 and avg complexity "&amp;TEXT(G17,"0.0")&amp;" &lt; 2.5, so Mini is allowed.","Profiler band: VC "&amp;TEXT(I17,"0")&amp;" &lt; 80 and Mini gate not met ("&amp;IF(E17&gt;=60,"value &gt;= 60","avg complexity &gt;= 2.5")&amp;"), so Standard.")))</f>
        <v>Profiler band: VC 92 &gt;= 80, so Full governance plan is required.</v>
      </c>
      <c r="L17" s="10" t="s">
        <v>48</v>
      </c>
      <c r="M17" s="10" t="s">
        <v>49</v>
      </c>
      <c r="N17" s="10" t="s">
        <v>59</v>
      </c>
      <c r="O17" s="10" t="s">
        <v>138</v>
      </c>
      <c r="P17" s="10" t="s">
        <v>64</v>
      </c>
      <c r="Q17" s="10" t="s">
        <v>53</v>
      </c>
      <c r="R17" s="10" t="s">
        <v>139</v>
      </c>
    </row>
    <row r="18" customFormat="false" ht="57.75" hidden="false" customHeight="true" outlineLevel="0" collapsed="false">
      <c r="A18" s="10" t="n">
        <v>13</v>
      </c>
      <c r="B18" s="10" t="s">
        <v>140</v>
      </c>
      <c r="C18" s="10" t="s">
        <v>141</v>
      </c>
      <c r="D18" s="10" t="s">
        <v>45</v>
      </c>
      <c r="E18" s="11" t="n">
        <v>87</v>
      </c>
      <c r="F18" s="10" t="s">
        <v>142</v>
      </c>
      <c r="G18" s="12" t="n">
        <v>2</v>
      </c>
      <c r="H18" s="10" t="s">
        <v>143</v>
      </c>
      <c r="I18" s="12" t="n">
        <f aca="false">ROUND(E18-(G18*2.5),0)</f>
        <v>82</v>
      </c>
      <c r="J18" s="10" t="str">
        <f aca="false">IF(D18&lt;&gt;"Active","Not Tiered",IF(I18&gt;=80,"Full",IF(AND(E18&lt;60,G18&lt;2.5),"Mini","Standard")))</f>
        <v>Full</v>
      </c>
      <c r="K18" s="10" t="str">
        <f aca="false">IF(D18&lt;&gt;"Active","Cancelled/inactive; excluded from active governance tier counts.",IF(J18="Full","Profiler band: VC "&amp;TEXT(I18,"0")&amp;" &gt;= 80, so Full governance plan is required.",IF(J18="Mini","Profiler band: Value "&amp;TEXT(E18,"0")&amp;" &lt; 60 and avg complexity "&amp;TEXT(G18,"0.0")&amp;" &lt; 2.5, so Mini is allowed.","Profiler band: VC "&amp;TEXT(I18,"0")&amp;" &lt; 80 and Mini gate not met ("&amp;IF(E18&gt;=60,"value &gt;= 60","avg complexity &gt;= 2.5")&amp;"), so Standard.")))</f>
        <v>Profiler band: VC 82 &gt;= 80, so Full governance plan is required.</v>
      </c>
      <c r="L18" s="10" t="s">
        <v>48</v>
      </c>
      <c r="M18" s="10" t="s">
        <v>49</v>
      </c>
      <c r="N18" s="10" t="s">
        <v>59</v>
      </c>
      <c r="O18" s="10" t="s">
        <v>51</v>
      </c>
      <c r="P18" s="10" t="s">
        <v>64</v>
      </c>
      <c r="Q18" s="10" t="s">
        <v>84</v>
      </c>
      <c r="R18" s="10" t="s">
        <v>144</v>
      </c>
    </row>
    <row r="19" customFormat="false" ht="57.75" hidden="false" customHeight="true" outlineLevel="0" collapsed="false">
      <c r="A19" s="10" t="n">
        <v>14</v>
      </c>
      <c r="B19" s="10" t="s">
        <v>145</v>
      </c>
      <c r="C19" s="10" t="s">
        <v>146</v>
      </c>
      <c r="D19" s="10" t="s">
        <v>45</v>
      </c>
      <c r="E19" s="11" t="n">
        <v>55</v>
      </c>
      <c r="F19" s="10" t="s">
        <v>147</v>
      </c>
      <c r="G19" s="12" t="n">
        <v>1.7</v>
      </c>
      <c r="H19" s="10" t="s">
        <v>148</v>
      </c>
      <c r="I19" s="12" t="n">
        <f aca="false">ROUND(E19-(G19*2.5),0)</f>
        <v>51</v>
      </c>
      <c r="J19" s="10" t="str">
        <f aca="false">IF(D19&lt;&gt;"Active","Not Tiered",IF(I19&gt;=80,"Full",IF(AND(E19&lt;60,G19&lt;2.5),"Mini","Standard")))</f>
        <v>Mini</v>
      </c>
      <c r="K19" s="10" t="str">
        <f aca="false">IF(D19&lt;&gt;"Active","Cancelled/inactive; excluded from active governance tier counts.",IF(J19="Full","Profiler band: VC "&amp;TEXT(I19,"0")&amp;" &gt;= 80, so Full governance plan is required.",IF(J19="Mini","Profiler band: Value "&amp;TEXT(E19,"0")&amp;" &lt; 60 and avg complexity "&amp;TEXT(G19,"0.0")&amp;" &lt; 2.5, so Mini is allowed.","Profiler band: VC "&amp;TEXT(I19,"0")&amp;" &lt; 80 and Mini gate not met ("&amp;IF(E19&gt;=60,"value &gt;= 60","avg complexity &gt;= 2.5")&amp;"), so Standard.")))</f>
        <v>Profiler band: Value 55 &lt; 60 and avg complexity 1.7 &lt; 2.5, so Mini is allowed.</v>
      </c>
      <c r="L19" s="10" t="s">
        <v>48</v>
      </c>
      <c r="M19" s="10" t="s">
        <v>113</v>
      </c>
      <c r="N19" s="10" t="s">
        <v>59</v>
      </c>
      <c r="O19" s="10" t="s">
        <v>149</v>
      </c>
      <c r="P19" s="10" t="s">
        <v>52</v>
      </c>
      <c r="Q19" s="10" t="s">
        <v>65</v>
      </c>
      <c r="R19" s="10" t="s">
        <v>150</v>
      </c>
    </row>
    <row r="20" customFormat="false" ht="57.75" hidden="false" customHeight="true" outlineLevel="0" collapsed="false">
      <c r="A20" s="10" t="n">
        <v>15</v>
      </c>
      <c r="B20" s="10" t="s">
        <v>151</v>
      </c>
      <c r="C20" s="10" t="s">
        <v>152</v>
      </c>
      <c r="D20" s="10" t="s">
        <v>45</v>
      </c>
      <c r="E20" s="11" t="n">
        <v>81</v>
      </c>
      <c r="F20" s="10" t="s">
        <v>153</v>
      </c>
      <c r="G20" s="12" t="n">
        <v>2.7</v>
      </c>
      <c r="H20" s="10" t="s">
        <v>154</v>
      </c>
      <c r="I20" s="12" t="n">
        <f aca="false">ROUND(E20-(G20*2.5),0)</f>
        <v>74</v>
      </c>
      <c r="J20" s="10" t="str">
        <f aca="false">IF(D20&lt;&gt;"Active","Not Tiered",IF(I20&gt;=80,"Full",IF(AND(E20&lt;60,G20&lt;2.5),"Mini","Standard")))</f>
        <v>Standard</v>
      </c>
      <c r="K20" s="10" t="str">
        <f aca="false">IF(D20&lt;&gt;"Active","Cancelled/inactive; excluded from active governance tier counts.",IF(J20="Full","Profiler band: VC "&amp;TEXT(I20,"0")&amp;" &gt;= 80, so Full governance plan is required.",IF(J20="Mini","Profiler band: Value "&amp;TEXT(E20,"0")&amp;" &lt; 60 and avg complexity "&amp;TEXT(G20,"0.0")&amp;" &lt; 2.5, so Mini is allowed.","Profiler band: VC "&amp;TEXT(I20,"0")&amp;" &lt; 80 and Mini gate not met ("&amp;IF(E20&gt;=60,"value &gt;= 60","avg complexity &gt;= 2.5")&amp;"), so Standard.")))</f>
        <v>Profiler band: VC 74 &lt; 80 and Mini gate not met (value &gt;= 60), so Standard.</v>
      </c>
      <c r="L20" s="10" t="s">
        <v>89</v>
      </c>
      <c r="M20" s="10" t="s">
        <v>49</v>
      </c>
      <c r="N20" s="10" t="s">
        <v>59</v>
      </c>
      <c r="O20" s="10" t="s">
        <v>155</v>
      </c>
      <c r="P20" s="10" t="s">
        <v>64</v>
      </c>
      <c r="Q20" s="10" t="s">
        <v>65</v>
      </c>
      <c r="R20" s="10" t="s">
        <v>156</v>
      </c>
    </row>
    <row r="21" customFormat="false" ht="57.75" hidden="false" customHeight="true" outlineLevel="0" collapsed="false">
      <c r="A21" s="10" t="n">
        <v>16</v>
      </c>
      <c r="B21" s="10" t="s">
        <v>157</v>
      </c>
      <c r="C21" s="10" t="s">
        <v>125</v>
      </c>
      <c r="D21" s="10" t="s">
        <v>45</v>
      </c>
      <c r="E21" s="11" t="n">
        <v>82</v>
      </c>
      <c r="F21" s="10" t="s">
        <v>158</v>
      </c>
      <c r="G21" s="12" t="n">
        <v>3.4</v>
      </c>
      <c r="H21" s="10" t="s">
        <v>159</v>
      </c>
      <c r="I21" s="12" t="n">
        <f aca="false">ROUND(E21-(G21*2.5),0)</f>
        <v>74</v>
      </c>
      <c r="J21" s="10" t="str">
        <f aca="false">IF(D21&lt;&gt;"Active","Not Tiered",IF(I21&gt;=80,"Full",IF(AND(E21&lt;60,G21&lt;2.5),"Mini","Standard")))</f>
        <v>Standard</v>
      </c>
      <c r="K21" s="10" t="str">
        <f aca="false">IF(D21&lt;&gt;"Active","Cancelled/inactive; excluded from active governance tier counts.",IF(J21="Full","Profiler band: VC "&amp;TEXT(I21,"0")&amp;" &gt;= 80, so Full governance plan is required.",IF(J21="Mini","Profiler band: Value "&amp;TEXT(E21,"0")&amp;" &lt; 60 and avg complexity "&amp;TEXT(G21,"0.0")&amp;" &lt; 2.5, so Mini is allowed.","Profiler band: VC "&amp;TEXT(I21,"0")&amp;" &lt; 80 and Mini gate not met ("&amp;IF(E21&gt;=60,"value &gt;= 60","avg complexity &gt;= 2.5")&amp;"), so Standard.")))</f>
        <v>Profiler band: VC 74 &lt; 80 and Mini gate not met (value &gt;= 60), so Standard.</v>
      </c>
      <c r="L21" s="10" t="s">
        <v>89</v>
      </c>
      <c r="M21" s="10" t="s">
        <v>49</v>
      </c>
      <c r="N21" s="10" t="s">
        <v>59</v>
      </c>
      <c r="O21" s="10" t="s">
        <v>51</v>
      </c>
      <c r="P21" s="10" t="s">
        <v>52</v>
      </c>
      <c r="Q21" s="10" t="s">
        <v>84</v>
      </c>
      <c r="R21" s="10" t="s">
        <v>160</v>
      </c>
    </row>
    <row r="22" customFormat="false" ht="57.75" hidden="false" customHeight="true" outlineLevel="0" collapsed="false">
      <c r="A22" s="10" t="n">
        <v>17</v>
      </c>
      <c r="B22" s="10" t="s">
        <v>161</v>
      </c>
      <c r="C22" s="10" t="s">
        <v>125</v>
      </c>
      <c r="D22" s="10" t="s">
        <v>45</v>
      </c>
      <c r="E22" s="11" t="n">
        <v>84</v>
      </c>
      <c r="F22" s="10" t="s">
        <v>162</v>
      </c>
      <c r="G22" s="12" t="n">
        <v>2.7</v>
      </c>
      <c r="H22" s="10" t="s">
        <v>163</v>
      </c>
      <c r="I22" s="12" t="n">
        <f aca="false">ROUND(E22-(G22*2.5),0)</f>
        <v>77</v>
      </c>
      <c r="J22" s="10" t="str">
        <f aca="false">IF(D22&lt;&gt;"Active","Not Tiered",IF(I22&gt;=80,"Full",IF(AND(E22&lt;60,G22&lt;2.5),"Mini","Standard")))</f>
        <v>Standard</v>
      </c>
      <c r="K22" s="10" t="str">
        <f aca="false">IF(D22&lt;&gt;"Active","Cancelled/inactive; excluded from active governance tier counts.",IF(J22="Full","Profiler band: VC "&amp;TEXT(I22,"0")&amp;" &gt;= 80, so Full governance plan is required.",IF(J22="Mini","Profiler band: Value "&amp;TEXT(E22,"0")&amp;" &lt; 60 and avg complexity "&amp;TEXT(G22,"0.0")&amp;" &lt; 2.5, so Mini is allowed.","Profiler band: VC "&amp;TEXT(I22,"0")&amp;" &lt; 80 and Mini gate not met ("&amp;IF(E22&gt;=60,"value &gt;= 60","avg complexity &gt;= 2.5")&amp;"), so Standard.")))</f>
        <v>Profiler band: VC 77 &lt; 80 and Mini gate not met (value &gt;= 60), so Standard.</v>
      </c>
      <c r="L22" s="10" t="s">
        <v>89</v>
      </c>
      <c r="M22" s="10" t="s">
        <v>49</v>
      </c>
      <c r="N22" s="10" t="s">
        <v>114</v>
      </c>
      <c r="O22" s="10" t="s">
        <v>155</v>
      </c>
      <c r="P22" s="10" t="s">
        <v>64</v>
      </c>
      <c r="Q22" s="10" t="s">
        <v>84</v>
      </c>
      <c r="R22" s="10" t="s">
        <v>164</v>
      </c>
    </row>
    <row r="23" customFormat="false" ht="57.75" hidden="false" customHeight="true" outlineLevel="0" collapsed="false">
      <c r="A23" s="10" t="n">
        <v>18</v>
      </c>
      <c r="B23" s="10" t="s">
        <v>165</v>
      </c>
      <c r="C23" s="10" t="s">
        <v>129</v>
      </c>
      <c r="D23" s="10" t="s">
        <v>45</v>
      </c>
      <c r="E23" s="11" t="n">
        <v>84</v>
      </c>
      <c r="F23" s="10" t="s">
        <v>166</v>
      </c>
      <c r="G23" s="12" t="n">
        <v>2.7</v>
      </c>
      <c r="H23" s="10" t="s">
        <v>167</v>
      </c>
      <c r="I23" s="12" t="n">
        <f aca="false">ROUND(E23-(G23*2.5),0)</f>
        <v>77</v>
      </c>
      <c r="J23" s="10" t="str">
        <f aca="false">IF(D23&lt;&gt;"Active","Not Tiered",IF(I23&gt;=80,"Full",IF(AND(E23&lt;60,G23&lt;2.5),"Mini","Standard")))</f>
        <v>Standard</v>
      </c>
      <c r="K23" s="10" t="str">
        <f aca="false">IF(D23&lt;&gt;"Active","Cancelled/inactive; excluded from active governance tier counts.",IF(J23="Full","Profiler band: VC "&amp;TEXT(I23,"0")&amp;" &gt;= 80, so Full governance plan is required.",IF(J23="Mini","Profiler band: Value "&amp;TEXT(E23,"0")&amp;" &lt; 60 and avg complexity "&amp;TEXT(G23,"0.0")&amp;" &lt; 2.5, so Mini is allowed.","Profiler band: VC "&amp;TEXT(I23,"0")&amp;" &lt; 80 and Mini gate not met ("&amp;IF(E23&gt;=60,"value &gt;= 60","avg complexity &gt;= 2.5")&amp;"), so Standard.")))</f>
        <v>Profiler band: VC 77 &lt; 80 and Mini gate not met (value &gt;= 60), so Standard.</v>
      </c>
      <c r="L23" s="10" t="s">
        <v>89</v>
      </c>
      <c r="M23" s="10" t="s">
        <v>49</v>
      </c>
      <c r="N23" s="10" t="s">
        <v>50</v>
      </c>
      <c r="O23" s="10" t="s">
        <v>155</v>
      </c>
      <c r="P23" s="10" t="s">
        <v>83</v>
      </c>
      <c r="Q23" s="10" t="s">
        <v>84</v>
      </c>
      <c r="R23" s="10" t="s">
        <v>133</v>
      </c>
    </row>
    <row r="24" customFormat="false" ht="57.75" hidden="false" customHeight="true" outlineLevel="0" collapsed="false">
      <c r="A24" s="10" t="n">
        <v>19</v>
      </c>
      <c r="B24" s="10" t="s">
        <v>168</v>
      </c>
      <c r="C24" s="10" t="s">
        <v>169</v>
      </c>
      <c r="D24" s="10" t="s">
        <v>45</v>
      </c>
      <c r="E24" s="11" t="n">
        <v>52</v>
      </c>
      <c r="F24" s="10" t="s">
        <v>170</v>
      </c>
      <c r="G24" s="12" t="n">
        <v>1.7</v>
      </c>
      <c r="H24" s="10" t="s">
        <v>171</v>
      </c>
      <c r="I24" s="12" t="n">
        <f aca="false">ROUND(E24-(G24*2.5),0)</f>
        <v>48</v>
      </c>
      <c r="J24" s="10" t="str">
        <f aca="false">IF(D24&lt;&gt;"Active","Not Tiered",IF(I24&gt;=80,"Full",IF(AND(E24&lt;60,G24&lt;2.5),"Mini","Standard")))</f>
        <v>Mini</v>
      </c>
      <c r="K24" s="10" t="str">
        <f aca="false">IF(D24&lt;&gt;"Active","Cancelled/inactive; excluded from active governance tier counts.",IF(J24="Full","Profiler band: VC "&amp;TEXT(I24,"0")&amp;" &gt;= 80, so Full governance plan is required.",IF(J24="Mini","Profiler band: Value "&amp;TEXT(E24,"0")&amp;" &lt; 60 and avg complexity "&amp;TEXT(G24,"0.0")&amp;" &lt; 2.5, so Mini is allowed.","Profiler band: VC "&amp;TEXT(I24,"0")&amp;" &lt; 80 and Mini gate not met ("&amp;IF(E24&gt;=60,"value &gt;= 60","avg complexity &gt;= 2.5")&amp;"), so Standard.")))</f>
        <v>Profiler band: Value 52 &lt; 60 and avg complexity 1.7 &lt; 2.5, so Mini is allowed.</v>
      </c>
      <c r="L24" s="10" t="s">
        <v>48</v>
      </c>
      <c r="M24" s="10" t="s">
        <v>113</v>
      </c>
      <c r="N24" s="10" t="s">
        <v>59</v>
      </c>
      <c r="O24" s="10" t="s">
        <v>51</v>
      </c>
      <c r="P24" s="10" t="s">
        <v>64</v>
      </c>
      <c r="Q24" s="10" t="s">
        <v>172</v>
      </c>
      <c r="R24" s="10" t="s">
        <v>173</v>
      </c>
    </row>
    <row r="25" customFormat="false" ht="57.75" hidden="false" customHeight="true" outlineLevel="0" collapsed="false">
      <c r="A25" s="10" t="n">
        <v>20</v>
      </c>
      <c r="B25" s="10" t="s">
        <v>174</v>
      </c>
      <c r="C25" s="10" t="s">
        <v>175</v>
      </c>
      <c r="D25" s="10" t="s">
        <v>45</v>
      </c>
      <c r="E25" s="11" t="n">
        <v>68</v>
      </c>
      <c r="F25" s="10" t="s">
        <v>176</v>
      </c>
      <c r="G25" s="12" t="n">
        <v>2</v>
      </c>
      <c r="H25" s="10" t="s">
        <v>177</v>
      </c>
      <c r="I25" s="12" t="n">
        <f aca="false">ROUND(E25-(G25*2.5),0)</f>
        <v>63</v>
      </c>
      <c r="J25" s="10" t="str">
        <f aca="false">IF(D25&lt;&gt;"Active","Not Tiered",IF(I25&gt;=80,"Full",IF(AND(E25&lt;60,G25&lt;2.5),"Mini","Standard")))</f>
        <v>Standard</v>
      </c>
      <c r="K25" s="10" t="str">
        <f aca="false">IF(D25&lt;&gt;"Active","Cancelled/inactive; excluded from active governance tier counts.",IF(J25="Full","Profiler band: VC "&amp;TEXT(I25,"0")&amp;" &gt;= 80, so Full governance plan is required.",IF(J25="Mini","Profiler band: Value "&amp;TEXT(E25,"0")&amp;" &lt; 60 and avg complexity "&amp;TEXT(G25,"0.0")&amp;" &lt; 2.5, so Mini is allowed.","Profiler band: VC "&amp;TEXT(I25,"0")&amp;" &lt; 80 and Mini gate not met ("&amp;IF(E25&gt;=60,"value &gt;= 60","avg complexity &gt;= 2.5")&amp;"), so Standard.")))</f>
        <v>Profiler band: VC 63 &lt; 80 and Mini gate not met (value &gt;= 60), so Standard.</v>
      </c>
      <c r="L25" s="10" t="s">
        <v>89</v>
      </c>
      <c r="M25" s="10" t="s">
        <v>49</v>
      </c>
      <c r="N25" s="10" t="s">
        <v>59</v>
      </c>
      <c r="O25" s="10" t="s">
        <v>155</v>
      </c>
      <c r="P25" s="10" t="s">
        <v>52</v>
      </c>
      <c r="Q25" s="10" t="s">
        <v>65</v>
      </c>
      <c r="R25" s="10" t="s">
        <v>178</v>
      </c>
    </row>
    <row r="26" customFormat="false" ht="57.75" hidden="false" customHeight="true" outlineLevel="0" collapsed="false">
      <c r="A26" s="10" t="n">
        <v>21</v>
      </c>
      <c r="B26" s="10" t="s">
        <v>179</v>
      </c>
      <c r="C26" s="10" t="s">
        <v>180</v>
      </c>
      <c r="D26" s="10" t="s">
        <v>45</v>
      </c>
      <c r="E26" s="11" t="n">
        <v>81</v>
      </c>
      <c r="F26" s="10" t="s">
        <v>181</v>
      </c>
      <c r="G26" s="12" t="n">
        <v>3.3</v>
      </c>
      <c r="H26" s="10" t="s">
        <v>182</v>
      </c>
      <c r="I26" s="12" t="n">
        <f aca="false">ROUND(E26-(G26*2.5),0)</f>
        <v>73</v>
      </c>
      <c r="J26" s="10" t="str">
        <f aca="false">IF(D26&lt;&gt;"Active","Not Tiered",IF(I26&gt;=80,"Full",IF(AND(E26&lt;60,G26&lt;2.5),"Mini","Standard")))</f>
        <v>Standard</v>
      </c>
      <c r="K26" s="10" t="str">
        <f aca="false">IF(D26&lt;&gt;"Active","Cancelled/inactive; excluded from active governance tier counts.",IF(J26="Full","Profiler band: VC "&amp;TEXT(I26,"0")&amp;" &gt;= 80, so Full governance plan is required.",IF(J26="Mini","Profiler band: Value "&amp;TEXT(E26,"0")&amp;" &lt; 60 and avg complexity "&amp;TEXT(G26,"0.0")&amp;" &lt; 2.5, so Mini is allowed.","Profiler band: VC "&amp;TEXT(I26,"0")&amp;" &lt; 80 and Mini gate not met ("&amp;IF(E26&gt;=60,"value &gt;= 60","avg complexity &gt;= 2.5")&amp;"), so Standard.")))</f>
        <v>Profiler band: VC 73 &lt; 80 and Mini gate not met (value &gt;= 60), so Standard.</v>
      </c>
      <c r="L26" s="10" t="s">
        <v>89</v>
      </c>
      <c r="M26" s="10" t="s">
        <v>49</v>
      </c>
      <c r="N26" s="10" t="s">
        <v>59</v>
      </c>
      <c r="O26" s="10" t="s">
        <v>122</v>
      </c>
      <c r="P26" s="10" t="s">
        <v>76</v>
      </c>
      <c r="Q26" s="10" t="s">
        <v>84</v>
      </c>
      <c r="R26" s="10" t="s">
        <v>183</v>
      </c>
    </row>
    <row r="27" customFormat="false" ht="57.75" hidden="false" customHeight="true" outlineLevel="0" collapsed="false">
      <c r="A27" s="10" t="n">
        <v>22</v>
      </c>
      <c r="B27" s="10" t="s">
        <v>184</v>
      </c>
      <c r="C27" s="10" t="s">
        <v>185</v>
      </c>
      <c r="D27" s="10" t="s">
        <v>45</v>
      </c>
      <c r="E27" s="11" t="n">
        <v>70</v>
      </c>
      <c r="F27" s="10" t="s">
        <v>186</v>
      </c>
      <c r="G27" s="12" t="n">
        <v>2.7</v>
      </c>
      <c r="H27" s="10" t="s">
        <v>187</v>
      </c>
      <c r="I27" s="12" t="n">
        <f aca="false">ROUND(E27-(G27*2.5),0)</f>
        <v>63</v>
      </c>
      <c r="J27" s="10" t="str">
        <f aca="false">IF(D27&lt;&gt;"Active","Not Tiered",IF(I27&gt;=80,"Full",IF(AND(E27&lt;60,G27&lt;2.5),"Mini","Standard")))</f>
        <v>Standard</v>
      </c>
      <c r="K27" s="10" t="str">
        <f aca="false">IF(D27&lt;&gt;"Active","Cancelled/inactive; excluded from active governance tier counts.",IF(J27="Full","Profiler band: VC "&amp;TEXT(I27,"0")&amp;" &gt;= 80, so Full governance plan is required.",IF(J27="Mini","Profiler band: Value "&amp;TEXT(E27,"0")&amp;" &lt; 60 and avg complexity "&amp;TEXT(G27,"0.0")&amp;" &lt; 2.5, so Mini is allowed.","Profiler band: VC "&amp;TEXT(I27,"0")&amp;" &lt; 80 and Mini gate not met ("&amp;IF(E27&gt;=60,"value &gt;= 60","avg complexity &gt;= 2.5")&amp;"), so Standard.")))</f>
        <v>Profiler band: VC 63 &lt; 80 and Mini gate not met (value &gt;= 60), so Standard.</v>
      </c>
      <c r="L27" s="10" t="s">
        <v>89</v>
      </c>
      <c r="M27" s="10" t="s">
        <v>49</v>
      </c>
      <c r="N27" s="10" t="s">
        <v>59</v>
      </c>
      <c r="O27" s="10" t="s">
        <v>155</v>
      </c>
      <c r="P27" s="10" t="s">
        <v>52</v>
      </c>
      <c r="Q27" s="10" t="s">
        <v>84</v>
      </c>
      <c r="R27" s="10"/>
    </row>
    <row r="28" customFormat="false" ht="57.75" hidden="false" customHeight="true" outlineLevel="0" collapsed="false">
      <c r="A28" s="10" t="n">
        <v>23</v>
      </c>
      <c r="B28" s="10" t="s">
        <v>188</v>
      </c>
      <c r="C28" s="10" t="s">
        <v>189</v>
      </c>
      <c r="D28" s="10" t="s">
        <v>45</v>
      </c>
      <c r="E28" s="11" t="n">
        <v>58</v>
      </c>
      <c r="F28" s="10" t="s">
        <v>190</v>
      </c>
      <c r="G28" s="12" t="n">
        <v>1.7</v>
      </c>
      <c r="H28" s="10" t="s">
        <v>191</v>
      </c>
      <c r="I28" s="12" t="n">
        <f aca="false">ROUND(E28-(G28*2.5),0)</f>
        <v>54</v>
      </c>
      <c r="J28" s="10" t="str">
        <f aca="false">IF(D28&lt;&gt;"Active","Not Tiered",IF(I28&gt;=80,"Full",IF(AND(E28&lt;60,G28&lt;2.5),"Mini","Standard")))</f>
        <v>Mini</v>
      </c>
      <c r="K28" s="10" t="str">
        <f aca="false">IF(D28&lt;&gt;"Active","Cancelled/inactive; excluded from active governance tier counts.",IF(J28="Full","Profiler band: VC "&amp;TEXT(I28,"0")&amp;" &gt;= 80, so Full governance plan is required.",IF(J28="Mini","Profiler band: Value "&amp;TEXT(E28,"0")&amp;" &lt; 60 and avg complexity "&amp;TEXT(G28,"0.0")&amp;" &lt; 2.5, so Mini is allowed.","Profiler band: VC "&amp;TEXT(I28,"0")&amp;" &lt; 80 and Mini gate not met ("&amp;IF(E28&gt;=60,"value &gt;= 60","avg complexity &gt;= 2.5")&amp;"), so Standard.")))</f>
        <v>Profiler band: Value 58 &lt; 60 and avg complexity 1.7 &lt; 2.5, so Mini is allowed.</v>
      </c>
      <c r="L28" s="10" t="s">
        <v>48</v>
      </c>
      <c r="M28" s="10" t="s">
        <v>113</v>
      </c>
      <c r="N28" s="10" t="s">
        <v>114</v>
      </c>
      <c r="O28" s="10" t="s">
        <v>51</v>
      </c>
      <c r="P28" s="10" t="s">
        <v>52</v>
      </c>
      <c r="Q28" s="10" t="s">
        <v>192</v>
      </c>
      <c r="R28" s="10" t="s">
        <v>193</v>
      </c>
    </row>
    <row r="29" customFormat="false" ht="57.75" hidden="false" customHeight="true" outlineLevel="0" collapsed="false">
      <c r="A29" s="10" t="n">
        <v>24</v>
      </c>
      <c r="B29" s="10" t="s">
        <v>194</v>
      </c>
      <c r="C29" s="10" t="s">
        <v>195</v>
      </c>
      <c r="D29" s="10" t="s">
        <v>45</v>
      </c>
      <c r="E29" s="11" t="n">
        <v>82</v>
      </c>
      <c r="F29" s="10" t="s">
        <v>196</v>
      </c>
      <c r="G29" s="12" t="n">
        <v>3.3</v>
      </c>
      <c r="H29" s="10" t="s">
        <v>197</v>
      </c>
      <c r="I29" s="12" t="n">
        <f aca="false">ROUND(E29-(G29*2.5),0)</f>
        <v>74</v>
      </c>
      <c r="J29" s="10" t="str">
        <f aca="false">IF(D29&lt;&gt;"Active","Not Tiered",IF(I29&gt;=80,"Full",IF(AND(E29&lt;60,G29&lt;2.5),"Mini","Standard")))</f>
        <v>Standard</v>
      </c>
      <c r="K29" s="10" t="str">
        <f aca="false">IF(D29&lt;&gt;"Active","Cancelled/inactive; excluded from active governance tier counts.",IF(J29="Full","Profiler band: VC "&amp;TEXT(I29,"0")&amp;" &gt;= 80, so Full governance plan is required.",IF(J29="Mini","Profiler band: Value "&amp;TEXT(E29,"0")&amp;" &lt; 60 and avg complexity "&amp;TEXT(G29,"0.0")&amp;" &lt; 2.5, so Mini is allowed.","Profiler band: VC "&amp;TEXT(I29,"0")&amp;" &lt; 80 and Mini gate not met ("&amp;IF(E29&gt;=60,"value &gt;= 60","avg complexity &gt;= 2.5")&amp;"), so Standard.")))</f>
        <v>Profiler band: VC 74 &lt; 80 and Mini gate not met (value &gt;= 60), so Standard.</v>
      </c>
      <c r="L29" s="10" t="s">
        <v>89</v>
      </c>
      <c r="M29" s="10" t="s">
        <v>49</v>
      </c>
      <c r="N29" s="10" t="s">
        <v>59</v>
      </c>
      <c r="O29" s="10" t="s">
        <v>138</v>
      </c>
      <c r="P29" s="10" t="s">
        <v>76</v>
      </c>
      <c r="Q29" s="10" t="s">
        <v>84</v>
      </c>
      <c r="R29" s="10" t="s">
        <v>198</v>
      </c>
    </row>
    <row r="30" customFormat="false" ht="57.75" hidden="false" customHeight="true" outlineLevel="0" collapsed="false">
      <c r="A30" s="10" t="n">
        <v>25</v>
      </c>
      <c r="B30" s="10" t="s">
        <v>199</v>
      </c>
      <c r="C30" s="10" t="s">
        <v>200</v>
      </c>
      <c r="D30" s="10" t="s">
        <v>45</v>
      </c>
      <c r="E30" s="11" t="n">
        <v>75</v>
      </c>
      <c r="F30" s="10" t="s">
        <v>201</v>
      </c>
      <c r="G30" s="12" t="n">
        <v>2</v>
      </c>
      <c r="H30" s="10" t="s">
        <v>202</v>
      </c>
      <c r="I30" s="12" t="n">
        <f aca="false">ROUND(E30-(G30*2.5),0)</f>
        <v>70</v>
      </c>
      <c r="J30" s="10" t="str">
        <f aca="false">IF(D30&lt;&gt;"Active","Not Tiered",IF(I30&gt;=80,"Full",IF(AND(E30&lt;60,G30&lt;2.5),"Mini","Standard")))</f>
        <v>Standard</v>
      </c>
      <c r="K30" s="10" t="str">
        <f aca="false">IF(D30&lt;&gt;"Active","Cancelled/inactive; excluded from active governance tier counts.",IF(J30="Full","Profiler band: VC "&amp;TEXT(I30,"0")&amp;" &gt;= 80, so Full governance plan is required.",IF(J30="Mini","Profiler band: Value "&amp;TEXT(E30,"0")&amp;" &lt; 60 and avg complexity "&amp;TEXT(G30,"0.0")&amp;" &lt; 2.5, so Mini is allowed.","Profiler band: VC "&amp;TEXT(I30,"0")&amp;" &lt; 80 and Mini gate not met ("&amp;IF(E30&gt;=60,"value &gt;= 60","avg complexity &gt;= 2.5")&amp;"), so Standard.")))</f>
        <v>Profiler band: VC 70 &lt; 80 and Mini gate not met (value &gt;= 60), so Standard.</v>
      </c>
      <c r="L30" s="10" t="s">
        <v>89</v>
      </c>
      <c r="M30" s="10" t="s">
        <v>49</v>
      </c>
      <c r="N30" s="10" t="s">
        <v>114</v>
      </c>
      <c r="O30" s="10" t="s">
        <v>155</v>
      </c>
      <c r="P30" s="10" t="s">
        <v>64</v>
      </c>
      <c r="Q30" s="10" t="s">
        <v>84</v>
      </c>
      <c r="R30" s="10" t="s">
        <v>203</v>
      </c>
    </row>
    <row r="31" customFormat="false" ht="57.75" hidden="false" customHeight="true" outlineLevel="0" collapsed="false">
      <c r="A31" s="10" t="n">
        <v>26</v>
      </c>
      <c r="B31" s="10" t="s">
        <v>204</v>
      </c>
      <c r="C31" s="10" t="s">
        <v>56</v>
      </c>
      <c r="D31" s="10" t="s">
        <v>45</v>
      </c>
      <c r="E31" s="11" t="n">
        <v>57</v>
      </c>
      <c r="F31" s="10" t="s">
        <v>205</v>
      </c>
      <c r="G31" s="12" t="n">
        <v>1.7</v>
      </c>
      <c r="H31" s="10" t="s">
        <v>206</v>
      </c>
      <c r="I31" s="12" t="n">
        <f aca="false">ROUND(E31-(G31*2.5),0)</f>
        <v>53</v>
      </c>
      <c r="J31" s="10" t="str">
        <f aca="false">IF(D31&lt;&gt;"Active","Not Tiered",IF(I31&gt;=80,"Full",IF(AND(E31&lt;60,G31&lt;2.5),"Mini","Standard")))</f>
        <v>Mini</v>
      </c>
      <c r="K31" s="10" t="str">
        <f aca="false">IF(D31&lt;&gt;"Active","Cancelled/inactive; excluded from active governance tier counts.",IF(J31="Full","Profiler band: VC "&amp;TEXT(I31,"0")&amp;" &gt;= 80, so Full governance plan is required.",IF(J31="Mini","Profiler band: Value "&amp;TEXT(E31,"0")&amp;" &lt; 60 and avg complexity "&amp;TEXT(G31,"0.0")&amp;" &lt; 2.5, so Mini is allowed.","Profiler band: VC "&amp;TEXT(I31,"0")&amp;" &lt; 80 and Mini gate not met ("&amp;IF(E31&gt;=60,"value &gt;= 60","avg complexity &gt;= 2.5")&amp;"), so Standard.")))</f>
        <v>Profiler band: Value 57 &lt; 60 and avg complexity 1.7 &lt; 2.5, so Mini is allowed.</v>
      </c>
      <c r="L31" s="10" t="s">
        <v>48</v>
      </c>
      <c r="M31" s="10" t="s">
        <v>113</v>
      </c>
      <c r="N31" s="10" t="s">
        <v>59</v>
      </c>
      <c r="O31" s="10" t="s">
        <v>82</v>
      </c>
      <c r="P31" s="10" t="s">
        <v>52</v>
      </c>
      <c r="Q31" s="10" t="s">
        <v>53</v>
      </c>
      <c r="R31" s="10" t="s">
        <v>207</v>
      </c>
    </row>
    <row r="32" customFormat="false" ht="57.75" hidden="false" customHeight="true" outlineLevel="0" collapsed="false">
      <c r="A32" s="10" t="n">
        <v>27</v>
      </c>
      <c r="B32" s="10" t="s">
        <v>208</v>
      </c>
      <c r="C32" s="10" t="s">
        <v>125</v>
      </c>
      <c r="D32" s="10" t="s">
        <v>45</v>
      </c>
      <c r="E32" s="11" t="n">
        <v>76</v>
      </c>
      <c r="F32" s="10" t="s">
        <v>209</v>
      </c>
      <c r="G32" s="12" t="n">
        <v>3.4</v>
      </c>
      <c r="H32" s="10" t="s">
        <v>210</v>
      </c>
      <c r="I32" s="12" t="n">
        <f aca="false">ROUND(E32-(G32*2.5),0)</f>
        <v>68</v>
      </c>
      <c r="J32" s="10" t="str">
        <f aca="false">IF(D32&lt;&gt;"Active","Not Tiered",IF(I32&gt;=80,"Full",IF(AND(E32&lt;60,G32&lt;2.5),"Mini","Standard")))</f>
        <v>Standard</v>
      </c>
      <c r="K32" s="10" t="str">
        <f aca="false">IF(D32&lt;&gt;"Active","Cancelled/inactive; excluded from active governance tier counts.",IF(J32="Full","Profiler band: VC "&amp;TEXT(I32,"0")&amp;" &gt;= 80, so Full governance plan is required.",IF(J32="Mini","Profiler band: Value "&amp;TEXT(E32,"0")&amp;" &lt; 60 and avg complexity "&amp;TEXT(G32,"0.0")&amp;" &lt; 2.5, so Mini is allowed.","Profiler band: VC "&amp;TEXT(I32,"0")&amp;" &lt; 80 and Mini gate not met ("&amp;IF(E32&gt;=60,"value &gt;= 60","avg complexity &gt;= 2.5")&amp;"), so Standard.")))</f>
        <v>Profiler band: VC 68 &lt; 80 and Mini gate not met (value &gt;= 60), so Standard.</v>
      </c>
      <c r="L32" s="10" t="s">
        <v>89</v>
      </c>
      <c r="M32" s="10" t="s">
        <v>49</v>
      </c>
      <c r="N32" s="10" t="s">
        <v>59</v>
      </c>
      <c r="O32" s="10" t="s">
        <v>51</v>
      </c>
      <c r="P32" s="10" t="s">
        <v>52</v>
      </c>
      <c r="Q32" s="10" t="s">
        <v>84</v>
      </c>
      <c r="R32" s="10" t="s">
        <v>211</v>
      </c>
    </row>
    <row r="33" customFormat="false" ht="57.75" hidden="false" customHeight="true" outlineLevel="0" collapsed="false">
      <c r="A33" s="10" t="n">
        <v>28</v>
      </c>
      <c r="B33" s="10" t="s">
        <v>212</v>
      </c>
      <c r="C33" s="10" t="s">
        <v>213</v>
      </c>
      <c r="D33" s="10" t="s">
        <v>45</v>
      </c>
      <c r="E33" s="11" t="n">
        <v>55</v>
      </c>
      <c r="F33" s="10" t="s">
        <v>214</v>
      </c>
      <c r="G33" s="12" t="n">
        <v>2</v>
      </c>
      <c r="H33" s="10" t="s">
        <v>215</v>
      </c>
      <c r="I33" s="12" t="n">
        <f aca="false">ROUND(E33-(G33*2.5),0)</f>
        <v>50</v>
      </c>
      <c r="J33" s="10" t="str">
        <f aca="false">IF(D33&lt;&gt;"Active","Not Tiered",IF(I33&gt;=80,"Full",IF(AND(E33&lt;60,G33&lt;2.5),"Mini","Standard")))</f>
        <v>Mini</v>
      </c>
      <c r="K33" s="10" t="str">
        <f aca="false">IF(D33&lt;&gt;"Active","Cancelled/inactive; excluded from active governance tier counts.",IF(J33="Full","Profiler band: VC "&amp;TEXT(I33,"0")&amp;" &gt;= 80, so Full governance plan is required.",IF(J33="Mini","Profiler band: Value "&amp;TEXT(E33,"0")&amp;" &lt; 60 and avg complexity "&amp;TEXT(G33,"0.0")&amp;" &lt; 2.5, so Mini is allowed.","Profiler band: VC "&amp;TEXT(I33,"0")&amp;" &lt; 80 and Mini gate not met ("&amp;IF(E33&gt;=60,"value &gt;= 60","avg complexity &gt;= 2.5")&amp;"), so Standard.")))</f>
        <v>Profiler band: Value 55 &lt; 60 and avg complexity 2.0 &lt; 2.5, so Mini is allowed.</v>
      </c>
      <c r="L33" s="10" t="s">
        <v>48</v>
      </c>
      <c r="M33" s="10" t="s">
        <v>49</v>
      </c>
      <c r="N33" s="10" t="s">
        <v>59</v>
      </c>
      <c r="O33" s="10" t="s">
        <v>82</v>
      </c>
      <c r="P33" s="10" t="s">
        <v>64</v>
      </c>
      <c r="Q33" s="10" t="s">
        <v>192</v>
      </c>
      <c r="R33" s="10" t="s">
        <v>216</v>
      </c>
    </row>
    <row r="34" customFormat="false" ht="57.75" hidden="false" customHeight="true" outlineLevel="0" collapsed="false">
      <c r="A34" s="10" t="n">
        <v>29</v>
      </c>
      <c r="B34" s="10" t="s">
        <v>217</v>
      </c>
      <c r="C34" s="10" t="s">
        <v>56</v>
      </c>
      <c r="D34" s="10" t="s">
        <v>45</v>
      </c>
      <c r="E34" s="11" t="n">
        <v>59</v>
      </c>
      <c r="F34" s="10" t="s">
        <v>218</v>
      </c>
      <c r="G34" s="12" t="n">
        <v>1.7</v>
      </c>
      <c r="H34" s="10" t="s">
        <v>219</v>
      </c>
      <c r="I34" s="12" t="n">
        <f aca="false">ROUND(E34-(G34*2.5),0)</f>
        <v>55</v>
      </c>
      <c r="J34" s="10" t="str">
        <f aca="false">IF(D34&lt;&gt;"Active","Not Tiered",IF(I34&gt;=80,"Full",IF(AND(E34&lt;60,G34&lt;2.5),"Mini","Standard")))</f>
        <v>Mini</v>
      </c>
      <c r="K34" s="10" t="str">
        <f aca="false">IF(D34&lt;&gt;"Active","Cancelled/inactive; excluded from active governance tier counts.",IF(J34="Full","Profiler band: VC "&amp;TEXT(I34,"0")&amp;" &gt;= 80, so Full governance plan is required.",IF(J34="Mini","Profiler band: Value "&amp;TEXT(E34,"0")&amp;" &lt; 60 and avg complexity "&amp;TEXT(G34,"0.0")&amp;" &lt; 2.5, so Mini is allowed.","Profiler band: VC "&amp;TEXT(I34,"0")&amp;" &lt; 80 and Mini gate not met ("&amp;IF(E34&gt;=60,"value &gt;= 60","avg complexity &gt;= 2.5")&amp;"), so Standard.")))</f>
        <v>Profiler band: Value 59 &lt; 60 and avg complexity 1.7 &lt; 2.5, so Mini is allowed.</v>
      </c>
      <c r="L34" s="10" t="s">
        <v>48</v>
      </c>
      <c r="M34" s="10" t="s">
        <v>113</v>
      </c>
      <c r="N34" s="10" t="s">
        <v>59</v>
      </c>
      <c r="O34" s="10" t="s">
        <v>82</v>
      </c>
      <c r="P34" s="10" t="s">
        <v>52</v>
      </c>
      <c r="Q34" s="10" t="s">
        <v>53</v>
      </c>
      <c r="R34" s="10" t="s">
        <v>220</v>
      </c>
    </row>
    <row r="35" customFormat="false" ht="57.75" hidden="false" customHeight="true" outlineLevel="0" collapsed="false">
      <c r="A35" s="10" t="n">
        <v>30</v>
      </c>
      <c r="B35" s="10" t="s">
        <v>221</v>
      </c>
      <c r="C35" s="10" t="s">
        <v>222</v>
      </c>
      <c r="D35" s="10" t="s">
        <v>45</v>
      </c>
      <c r="E35" s="11" t="n">
        <v>73</v>
      </c>
      <c r="F35" s="10" t="s">
        <v>223</v>
      </c>
      <c r="G35" s="12" t="n">
        <v>3.2</v>
      </c>
      <c r="H35" s="10" t="s">
        <v>224</v>
      </c>
      <c r="I35" s="12" t="n">
        <f aca="false">ROUND(E35-(G35*2.5),0)</f>
        <v>65</v>
      </c>
      <c r="J35" s="10" t="str">
        <f aca="false">IF(D35&lt;&gt;"Active","Not Tiered",IF(I35&gt;=80,"Full",IF(AND(E35&lt;60,G35&lt;2.5),"Mini","Standard")))</f>
        <v>Standard</v>
      </c>
      <c r="K35" s="10" t="str">
        <f aca="false">IF(D35&lt;&gt;"Active","Cancelled/inactive; excluded from active governance tier counts.",IF(J35="Full","Profiler band: VC "&amp;TEXT(I35,"0")&amp;" &gt;= 80, so Full governance plan is required.",IF(J35="Mini","Profiler band: Value "&amp;TEXT(E35,"0")&amp;" &lt; 60 and avg complexity "&amp;TEXT(G35,"0.0")&amp;" &lt; 2.5, so Mini is allowed.","Profiler band: VC "&amp;TEXT(I35,"0")&amp;" &lt; 80 and Mini gate not met ("&amp;IF(E35&gt;=60,"value &gt;= 60","avg complexity &gt;= 2.5")&amp;"), so Standard.")))</f>
        <v>Profiler band: VC 65 &lt; 80 and Mini gate not met (value &gt;= 60), so Standard.</v>
      </c>
      <c r="L35" s="10" t="s">
        <v>89</v>
      </c>
      <c r="M35" s="10" t="s">
        <v>49</v>
      </c>
      <c r="N35" s="10" t="s">
        <v>225</v>
      </c>
      <c r="O35" s="10" t="s">
        <v>101</v>
      </c>
      <c r="P35" s="10" t="s">
        <v>225</v>
      </c>
      <c r="Q35" s="10" t="s">
        <v>65</v>
      </c>
      <c r="R35" s="10" t="s">
        <v>226</v>
      </c>
    </row>
    <row r="36" customFormat="false" ht="57.75" hidden="false" customHeight="true" outlineLevel="0" collapsed="false">
      <c r="A36" s="10" t="n">
        <v>31</v>
      </c>
      <c r="B36" s="10" t="s">
        <v>227</v>
      </c>
      <c r="C36" s="10" t="s">
        <v>175</v>
      </c>
      <c r="D36" s="10" t="s">
        <v>45</v>
      </c>
      <c r="E36" s="11" t="n">
        <v>78</v>
      </c>
      <c r="F36" s="10" t="s">
        <v>228</v>
      </c>
      <c r="G36" s="12" t="n">
        <v>3.4</v>
      </c>
      <c r="H36" s="10" t="s">
        <v>229</v>
      </c>
      <c r="I36" s="12" t="n">
        <f aca="false">ROUND(E36-(G36*2.5),0)</f>
        <v>70</v>
      </c>
      <c r="J36" s="10" t="str">
        <f aca="false">IF(D36&lt;&gt;"Active","Not Tiered",IF(I36&gt;=80,"Full",IF(AND(E36&lt;60,G36&lt;2.5),"Mini","Standard")))</f>
        <v>Standard</v>
      </c>
      <c r="K36" s="10" t="str">
        <f aca="false">IF(D36&lt;&gt;"Active","Cancelled/inactive; excluded from active governance tier counts.",IF(J36="Full","Profiler band: VC "&amp;TEXT(I36,"0")&amp;" &gt;= 80, so Full governance plan is required.",IF(J36="Mini","Profiler band: Value "&amp;TEXT(E36,"0")&amp;" &lt; 60 and avg complexity "&amp;TEXT(G36,"0.0")&amp;" &lt; 2.5, so Mini is allowed.","Profiler band: VC "&amp;TEXT(I36,"0")&amp;" &lt; 80 and Mini gate not met ("&amp;IF(E36&gt;=60,"value &gt;= 60","avg complexity &gt;= 2.5")&amp;"), so Standard.")))</f>
        <v>Profiler band: VC 70 &lt; 80 and Mini gate not met (value &gt;= 60), so Standard.</v>
      </c>
      <c r="L36" s="10" t="s">
        <v>89</v>
      </c>
      <c r="M36" s="10" t="s">
        <v>49</v>
      </c>
      <c r="N36" s="10" t="s">
        <v>59</v>
      </c>
      <c r="O36" s="10" t="s">
        <v>155</v>
      </c>
      <c r="P36" s="10" t="s">
        <v>52</v>
      </c>
      <c r="Q36" s="10" t="s">
        <v>65</v>
      </c>
      <c r="R36" s="10" t="s">
        <v>178</v>
      </c>
    </row>
    <row r="37" customFormat="false" ht="57.75" hidden="false" customHeight="true" outlineLevel="0" collapsed="false">
      <c r="A37" s="10" t="n">
        <v>32</v>
      </c>
      <c r="B37" s="10" t="s">
        <v>230</v>
      </c>
      <c r="C37" s="10" t="s">
        <v>231</v>
      </c>
      <c r="D37" s="10" t="s">
        <v>45</v>
      </c>
      <c r="E37" s="11" t="n">
        <v>66</v>
      </c>
      <c r="F37" s="10" t="s">
        <v>232</v>
      </c>
      <c r="G37" s="12" t="n">
        <v>3.1</v>
      </c>
      <c r="H37" s="10" t="s">
        <v>233</v>
      </c>
      <c r="I37" s="12" t="n">
        <f aca="false">ROUND(E37-(G37*2.5),0)</f>
        <v>58</v>
      </c>
      <c r="J37" s="10" t="str">
        <f aca="false">IF(D37&lt;&gt;"Active","Not Tiered",IF(I37&gt;=80,"Full",IF(AND(E37&lt;60,G37&lt;2.5),"Mini","Standard")))</f>
        <v>Standard</v>
      </c>
      <c r="K37" s="10" t="str">
        <f aca="false">IF(D37&lt;&gt;"Active","Cancelled/inactive; excluded from active governance tier counts.",IF(J37="Full","Profiler band: VC "&amp;TEXT(I37,"0")&amp;" &gt;= 80, so Full governance plan is required.",IF(J37="Mini","Profiler band: Value "&amp;TEXT(E37,"0")&amp;" &lt; 60 and avg complexity "&amp;TEXT(G37,"0.0")&amp;" &lt; 2.5, so Mini is allowed.","Profiler band: VC "&amp;TEXT(I37,"0")&amp;" &lt; 80 and Mini gate not met ("&amp;IF(E37&gt;=60,"value &gt;= 60","avg complexity &gt;= 2.5")&amp;"), so Standard.")))</f>
        <v>Profiler band: VC 58 &lt; 80 and Mini gate not met (value &gt;= 60), so Standard.</v>
      </c>
      <c r="L37" s="10" t="s">
        <v>89</v>
      </c>
      <c r="M37" s="10" t="s">
        <v>49</v>
      </c>
      <c r="N37" s="10" t="s">
        <v>225</v>
      </c>
      <c r="O37" s="10" t="s">
        <v>138</v>
      </c>
      <c r="P37" s="10" t="s">
        <v>225</v>
      </c>
      <c r="Q37" s="10" t="s">
        <v>84</v>
      </c>
      <c r="R37" s="10" t="s">
        <v>234</v>
      </c>
    </row>
    <row r="38" customFormat="false" ht="57.75" hidden="false" customHeight="true" outlineLevel="0" collapsed="false">
      <c r="A38" s="10" t="n">
        <v>33</v>
      </c>
      <c r="B38" s="10" t="s">
        <v>235</v>
      </c>
      <c r="C38" s="10" t="s">
        <v>236</v>
      </c>
      <c r="D38" s="10" t="s">
        <v>45</v>
      </c>
      <c r="E38" s="11" t="n">
        <v>70</v>
      </c>
      <c r="F38" s="10" t="s">
        <v>237</v>
      </c>
      <c r="G38" s="12" t="n">
        <v>3.4</v>
      </c>
      <c r="H38" s="10" t="s">
        <v>238</v>
      </c>
      <c r="I38" s="12" t="n">
        <f aca="false">ROUND(E38-(G38*2.5),0)</f>
        <v>62</v>
      </c>
      <c r="J38" s="10" t="str">
        <f aca="false">IF(D38&lt;&gt;"Active","Not Tiered",IF(I38&gt;=80,"Full",IF(AND(E38&lt;60,G38&lt;2.5),"Mini","Standard")))</f>
        <v>Standard</v>
      </c>
      <c r="K38" s="10" t="str">
        <f aca="false">IF(D38&lt;&gt;"Active","Cancelled/inactive; excluded from active governance tier counts.",IF(J38="Full","Profiler band: VC "&amp;TEXT(I38,"0")&amp;" &gt;= 80, so Full governance plan is required.",IF(J38="Mini","Profiler band: Value "&amp;TEXT(E38,"0")&amp;" &lt; 60 and avg complexity "&amp;TEXT(G38,"0.0")&amp;" &lt; 2.5, so Mini is allowed.","Profiler band: VC "&amp;TEXT(I38,"0")&amp;" &lt; 80 and Mini gate not met ("&amp;IF(E38&gt;=60,"value &gt;= 60","avg complexity &gt;= 2.5")&amp;"), so Standard.")))</f>
        <v>Profiler band: VC 62 &lt; 80 and Mini gate not met (value &gt;= 60), so Standard.</v>
      </c>
      <c r="L38" s="10" t="s">
        <v>89</v>
      </c>
      <c r="M38" s="10" t="s">
        <v>49</v>
      </c>
      <c r="N38" s="10" t="s">
        <v>114</v>
      </c>
      <c r="O38" s="10" t="s">
        <v>107</v>
      </c>
      <c r="P38" s="10" t="s">
        <v>76</v>
      </c>
      <c r="Q38" s="10" t="s">
        <v>84</v>
      </c>
      <c r="R38" s="10"/>
    </row>
    <row r="39" customFormat="false" ht="57.75" hidden="false" customHeight="true" outlineLevel="0" collapsed="false">
      <c r="A39" s="10" t="n">
        <v>34</v>
      </c>
      <c r="B39" s="10" t="s">
        <v>239</v>
      </c>
      <c r="C39" s="10" t="s">
        <v>200</v>
      </c>
      <c r="D39" s="10" t="s">
        <v>45</v>
      </c>
      <c r="E39" s="11" t="n">
        <v>70</v>
      </c>
      <c r="F39" s="10" t="s">
        <v>240</v>
      </c>
      <c r="G39" s="12" t="n">
        <v>3.4</v>
      </c>
      <c r="H39" s="10" t="s">
        <v>241</v>
      </c>
      <c r="I39" s="12" t="n">
        <f aca="false">ROUND(E39-(G39*2.5),0)</f>
        <v>62</v>
      </c>
      <c r="J39" s="10" t="str">
        <f aca="false">IF(D39&lt;&gt;"Active","Not Tiered",IF(I39&gt;=80,"Full",IF(AND(E39&lt;60,G39&lt;2.5),"Mini","Standard")))</f>
        <v>Standard</v>
      </c>
      <c r="K39" s="10" t="str">
        <f aca="false">IF(D39&lt;&gt;"Active","Cancelled/inactive; excluded from active governance tier counts.",IF(J39="Full","Profiler band: VC "&amp;TEXT(I39,"0")&amp;" &gt;= 80, so Full governance plan is required.",IF(J39="Mini","Profiler band: Value "&amp;TEXT(E39,"0")&amp;" &lt; 60 and avg complexity "&amp;TEXT(G39,"0.0")&amp;" &lt; 2.5, so Mini is allowed.","Profiler band: VC "&amp;TEXT(I39,"0")&amp;" &lt; 80 and Mini gate not met ("&amp;IF(E39&gt;=60,"value &gt;= 60","avg complexity &gt;= 2.5")&amp;"), so Standard.")))</f>
        <v>Profiler band: VC 62 &lt; 80 and Mini gate not met (value &gt;= 60), so Standard.</v>
      </c>
      <c r="L39" s="10" t="s">
        <v>89</v>
      </c>
      <c r="M39" s="10" t="s">
        <v>49</v>
      </c>
      <c r="N39" s="10" t="s">
        <v>114</v>
      </c>
      <c r="O39" s="10" t="s">
        <v>101</v>
      </c>
      <c r="P39" s="10" t="s">
        <v>64</v>
      </c>
      <c r="Q39" s="10" t="s">
        <v>84</v>
      </c>
      <c r="R39" s="10" t="s">
        <v>242</v>
      </c>
    </row>
    <row r="40" customFormat="false" ht="57.75" hidden="false" customHeight="true" outlineLevel="0" collapsed="false">
      <c r="A40" s="10" t="n">
        <v>35</v>
      </c>
      <c r="B40" s="10" t="s">
        <v>243</v>
      </c>
      <c r="C40" s="10" t="s">
        <v>244</v>
      </c>
      <c r="D40" s="10" t="s">
        <v>45</v>
      </c>
      <c r="E40" s="11" t="n">
        <v>78</v>
      </c>
      <c r="F40" s="10" t="s">
        <v>245</v>
      </c>
      <c r="G40" s="12" t="n">
        <v>3.4</v>
      </c>
      <c r="H40" s="10" t="s">
        <v>246</v>
      </c>
      <c r="I40" s="12" t="n">
        <f aca="false">ROUND(E40-(G40*2.5),0)</f>
        <v>70</v>
      </c>
      <c r="J40" s="10" t="str">
        <f aca="false">IF(D40&lt;&gt;"Active","Not Tiered",IF(I40&gt;=80,"Full",IF(AND(E40&lt;60,G40&lt;2.5),"Mini","Standard")))</f>
        <v>Standard</v>
      </c>
      <c r="K40" s="10" t="str">
        <f aca="false">IF(D40&lt;&gt;"Active","Cancelled/inactive; excluded from active governance tier counts.",IF(J40="Full","Profiler band: VC "&amp;TEXT(I40,"0")&amp;" &gt;= 80, so Full governance plan is required.",IF(J40="Mini","Profiler band: Value "&amp;TEXT(E40,"0")&amp;" &lt; 60 and avg complexity "&amp;TEXT(G40,"0.0")&amp;" &lt; 2.5, so Mini is allowed.","Profiler band: VC "&amp;TEXT(I40,"0")&amp;" &lt; 80 and Mini gate not met ("&amp;IF(E40&gt;=60,"value &gt;= 60","avg complexity &gt;= 2.5")&amp;"), so Standard.")))</f>
        <v>Profiler band: VC 70 &lt; 80 and Mini gate not met (value &gt;= 60), so Standard.</v>
      </c>
      <c r="L40" s="10" t="s">
        <v>89</v>
      </c>
      <c r="M40" s="10" t="s">
        <v>49</v>
      </c>
      <c r="N40" s="10" t="s">
        <v>59</v>
      </c>
      <c r="O40" s="10" t="s">
        <v>51</v>
      </c>
      <c r="P40" s="10" t="s">
        <v>76</v>
      </c>
      <c r="Q40" s="10" t="s">
        <v>84</v>
      </c>
      <c r="R40" s="10" t="s">
        <v>247</v>
      </c>
    </row>
    <row r="41" customFormat="false" ht="57.75" hidden="false" customHeight="true" outlineLevel="0" collapsed="false">
      <c r="A41" s="10" t="n">
        <v>36</v>
      </c>
      <c r="B41" s="10" t="s">
        <v>248</v>
      </c>
      <c r="C41" s="10" t="s">
        <v>249</v>
      </c>
      <c r="D41" s="10" t="s">
        <v>45</v>
      </c>
      <c r="E41" s="11" t="n">
        <v>85</v>
      </c>
      <c r="F41" s="10" t="s">
        <v>250</v>
      </c>
      <c r="G41" s="12" t="n">
        <v>3.4</v>
      </c>
      <c r="H41" s="10" t="s">
        <v>251</v>
      </c>
      <c r="I41" s="12" t="n">
        <f aca="false">ROUND(E41-(G41*2.5),0)</f>
        <v>77</v>
      </c>
      <c r="J41" s="10" t="str">
        <f aca="false">IF(D41&lt;&gt;"Active","Not Tiered",IF(I41&gt;=80,"Full",IF(AND(E41&lt;60,G41&lt;2.5),"Mini","Standard")))</f>
        <v>Standard</v>
      </c>
      <c r="K41" s="10" t="str">
        <f aca="false">IF(D41&lt;&gt;"Active","Cancelled/inactive; excluded from active governance tier counts.",IF(J41="Full","Profiler band: VC "&amp;TEXT(I41,"0")&amp;" &gt;= 80, so Full governance plan is required.",IF(J41="Mini","Profiler band: Value "&amp;TEXT(E41,"0")&amp;" &lt; 60 and avg complexity "&amp;TEXT(G41,"0.0")&amp;" &lt; 2.5, so Mini is allowed.","Profiler band: VC "&amp;TEXT(I41,"0")&amp;" &lt; 80 and Mini gate not met ("&amp;IF(E41&gt;=60,"value &gt;= 60","avg complexity &gt;= 2.5")&amp;"), so Standard.")))</f>
        <v>Profiler band: VC 77 &lt; 80 and Mini gate not met (value &gt;= 60), so Standard.</v>
      </c>
      <c r="L41" s="10" t="s">
        <v>89</v>
      </c>
      <c r="M41" s="10" t="s">
        <v>49</v>
      </c>
      <c r="N41" s="10" t="s">
        <v>59</v>
      </c>
      <c r="O41" s="10" t="s">
        <v>138</v>
      </c>
      <c r="P41" s="10" t="s">
        <v>52</v>
      </c>
      <c r="Q41" s="10" t="s">
        <v>116</v>
      </c>
      <c r="R41" s="10"/>
    </row>
    <row r="42" customFormat="false" ht="57.75" hidden="false" customHeight="true" outlineLevel="0" collapsed="false">
      <c r="A42" s="10" t="n">
        <v>37</v>
      </c>
      <c r="B42" s="10" t="s">
        <v>252</v>
      </c>
      <c r="C42" s="10" t="s">
        <v>253</v>
      </c>
      <c r="D42" s="10" t="s">
        <v>45</v>
      </c>
      <c r="E42" s="11" t="n">
        <v>76</v>
      </c>
      <c r="F42" s="10" t="s">
        <v>254</v>
      </c>
      <c r="G42" s="12" t="n">
        <v>3.3</v>
      </c>
      <c r="H42" s="10" t="s">
        <v>255</v>
      </c>
      <c r="I42" s="12" t="n">
        <f aca="false">ROUND(E42-(G42*2.5),0)</f>
        <v>68</v>
      </c>
      <c r="J42" s="10" t="str">
        <f aca="false">IF(D42&lt;&gt;"Active","Not Tiered",IF(I42&gt;=80,"Full",IF(AND(E42&lt;60,G42&lt;2.5),"Mini","Standard")))</f>
        <v>Standard</v>
      </c>
      <c r="K42" s="10" t="str">
        <f aca="false">IF(D42&lt;&gt;"Active","Cancelled/inactive; excluded from active governance tier counts.",IF(J42="Full","Profiler band: VC "&amp;TEXT(I42,"0")&amp;" &gt;= 80, so Full governance plan is required.",IF(J42="Mini","Profiler band: Value "&amp;TEXT(E42,"0")&amp;" &lt; 60 and avg complexity "&amp;TEXT(G42,"0.0")&amp;" &lt; 2.5, so Mini is allowed.","Profiler band: VC "&amp;TEXT(I42,"0")&amp;" &lt; 80 and Mini gate not met ("&amp;IF(E42&gt;=60,"value &gt;= 60","avg complexity &gt;= 2.5")&amp;"), so Standard.")))</f>
        <v>Profiler band: VC 68 &lt; 80 and Mini gate not met (value &gt;= 60), so Standard.</v>
      </c>
      <c r="L42" s="10" t="s">
        <v>89</v>
      </c>
      <c r="M42" s="10" t="s">
        <v>49</v>
      </c>
      <c r="N42" s="10" t="s">
        <v>59</v>
      </c>
      <c r="O42" s="10" t="s">
        <v>138</v>
      </c>
      <c r="P42" s="10" t="s">
        <v>52</v>
      </c>
      <c r="Q42" s="10" t="s">
        <v>84</v>
      </c>
      <c r="R42" s="10" t="s">
        <v>193</v>
      </c>
    </row>
    <row r="43" customFormat="false" ht="57.75" hidden="false" customHeight="true" outlineLevel="0" collapsed="false">
      <c r="A43" s="10" t="n">
        <v>38</v>
      </c>
      <c r="B43" s="10" t="s">
        <v>256</v>
      </c>
      <c r="C43" s="10" t="s">
        <v>200</v>
      </c>
      <c r="D43" s="10" t="s">
        <v>45</v>
      </c>
      <c r="E43" s="11" t="n">
        <v>71</v>
      </c>
      <c r="F43" s="10" t="s">
        <v>257</v>
      </c>
      <c r="G43" s="12" t="n">
        <v>3.4</v>
      </c>
      <c r="H43" s="10" t="s">
        <v>258</v>
      </c>
      <c r="I43" s="12" t="n">
        <f aca="false">ROUND(E43-(G43*2.5),0)</f>
        <v>63</v>
      </c>
      <c r="J43" s="10" t="str">
        <f aca="false">IF(D43&lt;&gt;"Active","Not Tiered",IF(I43&gt;=80,"Full",IF(AND(E43&lt;60,G43&lt;2.5),"Mini","Standard")))</f>
        <v>Standard</v>
      </c>
      <c r="K43" s="10" t="str">
        <f aca="false">IF(D43&lt;&gt;"Active","Cancelled/inactive; excluded from active governance tier counts.",IF(J43="Full","Profiler band: VC "&amp;TEXT(I43,"0")&amp;" &gt;= 80, so Full governance plan is required.",IF(J43="Mini","Profiler band: Value "&amp;TEXT(E43,"0")&amp;" &lt; 60 and avg complexity "&amp;TEXT(G43,"0.0")&amp;" &lt; 2.5, so Mini is allowed.","Profiler band: VC "&amp;TEXT(I43,"0")&amp;" &lt; 80 and Mini gate not met ("&amp;IF(E43&gt;=60,"value &gt;= 60","avg complexity &gt;= 2.5")&amp;"), so Standard.")))</f>
        <v>Profiler band: VC 63 &lt; 80 and Mini gate not met (value &gt;= 60), so Standard.</v>
      </c>
      <c r="L43" s="10" t="s">
        <v>89</v>
      </c>
      <c r="M43" s="10" t="s">
        <v>49</v>
      </c>
      <c r="N43" s="10" t="s">
        <v>59</v>
      </c>
      <c r="O43" s="10" t="s">
        <v>138</v>
      </c>
      <c r="P43" s="10" t="s">
        <v>52</v>
      </c>
      <c r="Q43" s="10" t="s">
        <v>84</v>
      </c>
      <c r="R43" s="10" t="s">
        <v>259</v>
      </c>
    </row>
    <row r="44" customFormat="false" ht="57.75" hidden="false" customHeight="true" outlineLevel="0" collapsed="false">
      <c r="A44" s="10" t="n">
        <v>39</v>
      </c>
      <c r="B44" s="10" t="s">
        <v>260</v>
      </c>
      <c r="C44" s="10" t="s">
        <v>261</v>
      </c>
      <c r="D44" s="10" t="s">
        <v>45</v>
      </c>
      <c r="E44" s="11" t="n">
        <v>79</v>
      </c>
      <c r="F44" s="10" t="s">
        <v>262</v>
      </c>
      <c r="G44" s="12" t="n">
        <v>3.3</v>
      </c>
      <c r="H44" s="10" t="s">
        <v>263</v>
      </c>
      <c r="I44" s="12" t="n">
        <f aca="false">ROUND(E44-(G44*2.5),0)</f>
        <v>71</v>
      </c>
      <c r="J44" s="10" t="str">
        <f aca="false">IF(D44&lt;&gt;"Active","Not Tiered",IF(I44&gt;=80,"Full",IF(AND(E44&lt;60,G44&lt;2.5),"Mini","Standard")))</f>
        <v>Standard</v>
      </c>
      <c r="K44" s="10" t="str">
        <f aca="false">IF(D44&lt;&gt;"Active","Cancelled/inactive; excluded from active governance tier counts.",IF(J44="Full","Profiler band: VC "&amp;TEXT(I44,"0")&amp;" &gt;= 80, so Full governance plan is required.",IF(J44="Mini","Profiler band: Value "&amp;TEXT(E44,"0")&amp;" &lt; 60 and avg complexity "&amp;TEXT(G44,"0.0")&amp;" &lt; 2.5, so Mini is allowed.","Profiler band: VC "&amp;TEXT(I44,"0")&amp;" &lt; 80 and Mini gate not met ("&amp;IF(E44&gt;=60,"value &gt;= 60","avg complexity &gt;= 2.5")&amp;"), so Standard.")))</f>
        <v>Profiler band: VC 71 &lt; 80 and Mini gate not met (value &gt;= 60), so Standard.</v>
      </c>
      <c r="L44" s="10" t="s">
        <v>89</v>
      </c>
      <c r="M44" s="10" t="s">
        <v>49</v>
      </c>
      <c r="N44" s="10" t="s">
        <v>59</v>
      </c>
      <c r="O44" s="10" t="s">
        <v>138</v>
      </c>
      <c r="P44" s="10" t="s">
        <v>52</v>
      </c>
      <c r="Q44" s="10" t="s">
        <v>84</v>
      </c>
      <c r="R44" s="10" t="s">
        <v>178</v>
      </c>
    </row>
    <row r="45" customFormat="false" ht="57.75" hidden="false" customHeight="true" outlineLevel="0" collapsed="false">
      <c r="A45" s="10" t="n">
        <v>40</v>
      </c>
      <c r="B45" s="10" t="s">
        <v>264</v>
      </c>
      <c r="C45" s="10" t="s">
        <v>244</v>
      </c>
      <c r="D45" s="10" t="s">
        <v>45</v>
      </c>
      <c r="E45" s="11" t="n">
        <v>58</v>
      </c>
      <c r="F45" s="10" t="s">
        <v>265</v>
      </c>
      <c r="G45" s="12" t="n">
        <v>2</v>
      </c>
      <c r="H45" s="10" t="s">
        <v>266</v>
      </c>
      <c r="I45" s="12" t="n">
        <f aca="false">ROUND(E45-(G45*2.5),0)</f>
        <v>53</v>
      </c>
      <c r="J45" s="10" t="str">
        <f aca="false">IF(D45&lt;&gt;"Active","Not Tiered",IF(I45&gt;=80,"Full",IF(AND(E45&lt;60,G45&lt;2.5),"Mini","Standard")))</f>
        <v>Mini</v>
      </c>
      <c r="K45" s="10" t="str">
        <f aca="false">IF(D45&lt;&gt;"Active","Cancelled/inactive; excluded from active governance tier counts.",IF(J45="Full","Profiler band: VC "&amp;TEXT(I45,"0")&amp;" &gt;= 80, so Full governance plan is required.",IF(J45="Mini","Profiler band: Value "&amp;TEXT(E45,"0")&amp;" &lt; 60 and avg complexity "&amp;TEXT(G45,"0.0")&amp;" &lt; 2.5, so Mini is allowed.","Profiler band: VC "&amp;TEXT(I45,"0")&amp;" &lt; 80 and Mini gate not met ("&amp;IF(E45&gt;=60,"value &gt;= 60","avg complexity &gt;= 2.5")&amp;"), so Standard.")))</f>
        <v>Profiler band: Value 58 &lt; 60 and avg complexity 2.0 &lt; 2.5, so Mini is allowed.</v>
      </c>
      <c r="L45" s="10" t="s">
        <v>48</v>
      </c>
      <c r="M45" s="10" t="s">
        <v>49</v>
      </c>
      <c r="N45" s="10" t="s">
        <v>59</v>
      </c>
      <c r="O45" s="10" t="s">
        <v>51</v>
      </c>
      <c r="P45" s="10" t="s">
        <v>52</v>
      </c>
      <c r="Q45" s="10" t="s">
        <v>84</v>
      </c>
      <c r="R45" s="10" t="s">
        <v>267</v>
      </c>
    </row>
    <row r="46" customFormat="false" ht="57.75" hidden="false" customHeight="true" outlineLevel="0" collapsed="false">
      <c r="A46" s="10" t="n">
        <v>41</v>
      </c>
      <c r="B46" s="10" t="s">
        <v>268</v>
      </c>
      <c r="C46" s="10" t="s">
        <v>269</v>
      </c>
      <c r="D46" s="10" t="s">
        <v>12</v>
      </c>
      <c r="E46" s="11" t="n">
        <v>53</v>
      </c>
      <c r="F46" s="10" t="s">
        <v>270</v>
      </c>
      <c r="G46" s="12" t="n">
        <v>2.7</v>
      </c>
      <c r="H46" s="10" t="s">
        <v>271</v>
      </c>
      <c r="I46" s="12" t="n">
        <f aca="false">ROUND(E46-(G46*2.5),0)</f>
        <v>46</v>
      </c>
      <c r="J46" s="10" t="str">
        <f aca="false">IF(D46&lt;&gt;"Active","Not Tiered",IF(I46&gt;=80,"Full",IF(AND(E46&lt;60,G46&lt;2.5),"Mini","Standard")))</f>
        <v>Not Tiered</v>
      </c>
      <c r="K46" s="10" t="str">
        <f aca="false">IF(D46&lt;&gt;"Active","Cancelled/inactive; excluded from active governance tier counts.",IF(J46="Full","Profiler band: VC "&amp;TEXT(I46,"0")&amp;" &gt;= 80, so Full governance plan is required.",IF(J46="Mini","Profiler band: Value "&amp;TEXT(E46,"0")&amp;" &lt; 60 and avg complexity "&amp;TEXT(G46,"0.0")&amp;" &lt; 2.5, so Mini is allowed.","Profiler band: VC "&amp;TEXT(I46,"0")&amp;" &lt; 80 and Mini gate not met ("&amp;IF(E46&gt;=60,"value &gt;= 60","avg complexity &gt;= 2.5")&amp;"), so Standard.")))</f>
        <v>Cancelled/inactive; excluded from active governance tier counts.</v>
      </c>
      <c r="L46" s="10" t="s">
        <v>89</v>
      </c>
      <c r="M46" s="10" t="s">
        <v>49</v>
      </c>
      <c r="N46" s="10" t="s">
        <v>114</v>
      </c>
      <c r="O46" s="10" t="s">
        <v>51</v>
      </c>
      <c r="P46" s="10" t="s">
        <v>52</v>
      </c>
      <c r="Q46" s="10" t="s">
        <v>272</v>
      </c>
      <c r="R46" s="10" t="s">
        <v>273</v>
      </c>
    </row>
    <row r="47" customFormat="false" ht="57.75" hidden="false" customHeight="true" outlineLevel="0" collapsed="false">
      <c r="A47" s="10" t="n">
        <v>42</v>
      </c>
      <c r="B47" s="10" t="s">
        <v>274</v>
      </c>
      <c r="C47" s="10" t="s">
        <v>104</v>
      </c>
      <c r="D47" s="10" t="s">
        <v>45</v>
      </c>
      <c r="E47" s="11" t="n">
        <v>50</v>
      </c>
      <c r="F47" s="10" t="s">
        <v>275</v>
      </c>
      <c r="G47" s="12" t="n">
        <v>2</v>
      </c>
      <c r="H47" s="10" t="s">
        <v>276</v>
      </c>
      <c r="I47" s="12" t="n">
        <f aca="false">ROUND(E47-(G47*2.5),0)</f>
        <v>45</v>
      </c>
      <c r="J47" s="10" t="str">
        <f aca="false">IF(D47&lt;&gt;"Active","Not Tiered",IF(I47&gt;=80,"Full",IF(AND(E47&lt;60,G47&lt;2.5),"Mini","Standard")))</f>
        <v>Mini</v>
      </c>
      <c r="K47" s="10" t="str">
        <f aca="false">IF(D47&lt;&gt;"Active","Cancelled/inactive; excluded from active governance tier counts.",IF(J47="Full","Profiler band: VC "&amp;TEXT(I47,"0")&amp;" &gt;= 80, so Full governance plan is required.",IF(J47="Mini","Profiler band: Value "&amp;TEXT(E47,"0")&amp;" &lt; 60 and avg complexity "&amp;TEXT(G47,"0.0")&amp;" &lt; 2.5, so Mini is allowed.","Profiler band: VC "&amp;TEXT(I47,"0")&amp;" &lt; 80 and Mini gate not met ("&amp;IF(E47&gt;=60,"value &gt;= 60","avg complexity &gt;= 2.5")&amp;"), so Standard.")))</f>
        <v>Profiler band: Value 50 &lt; 60 and avg complexity 2.0 &lt; 2.5, so Mini is allowed.</v>
      </c>
      <c r="L47" s="10" t="s">
        <v>48</v>
      </c>
      <c r="M47" s="10" t="s">
        <v>49</v>
      </c>
      <c r="N47" s="10" t="s">
        <v>59</v>
      </c>
      <c r="O47" s="10" t="s">
        <v>155</v>
      </c>
      <c r="P47" s="10" t="s">
        <v>76</v>
      </c>
      <c r="Q47" s="10" t="s">
        <v>84</v>
      </c>
      <c r="R47" s="10" t="s">
        <v>277</v>
      </c>
    </row>
    <row r="48" customFormat="false" ht="57.75" hidden="false" customHeight="true" outlineLevel="0" collapsed="false">
      <c r="A48" s="10" t="n">
        <v>43</v>
      </c>
      <c r="B48" s="10" t="s">
        <v>278</v>
      </c>
      <c r="C48" s="10" t="s">
        <v>244</v>
      </c>
      <c r="D48" s="10" t="s">
        <v>45</v>
      </c>
      <c r="E48" s="11" t="n">
        <v>50</v>
      </c>
      <c r="F48" s="10" t="s">
        <v>279</v>
      </c>
      <c r="G48" s="12" t="n">
        <v>2</v>
      </c>
      <c r="H48" s="10" t="s">
        <v>280</v>
      </c>
      <c r="I48" s="12" t="n">
        <f aca="false">ROUND(E48-(G48*2.5),0)</f>
        <v>45</v>
      </c>
      <c r="J48" s="10" t="str">
        <f aca="false">IF(D48&lt;&gt;"Active","Not Tiered",IF(I48&gt;=80,"Full",IF(AND(E48&lt;60,G48&lt;2.5),"Mini","Standard")))</f>
        <v>Mini</v>
      </c>
      <c r="K48" s="10" t="str">
        <f aca="false">IF(D48&lt;&gt;"Active","Cancelled/inactive; excluded from active governance tier counts.",IF(J48="Full","Profiler band: VC "&amp;TEXT(I48,"0")&amp;" &gt;= 80, so Full governance plan is required.",IF(J48="Mini","Profiler band: Value "&amp;TEXT(E48,"0")&amp;" &lt; 60 and avg complexity "&amp;TEXT(G48,"0.0")&amp;" &lt; 2.5, so Mini is allowed.","Profiler band: VC "&amp;TEXT(I48,"0")&amp;" &lt; 80 and Mini gate not met ("&amp;IF(E48&gt;=60,"value &gt;= 60","avg complexity &gt;= 2.5")&amp;"), so Standard.")))</f>
        <v>Profiler band: Value 50 &lt; 60 and avg complexity 2.0 &lt; 2.5, so Mini is allowed.</v>
      </c>
      <c r="L48" s="10" t="s">
        <v>48</v>
      </c>
      <c r="M48" s="10" t="s">
        <v>49</v>
      </c>
      <c r="N48" s="10" t="s">
        <v>114</v>
      </c>
      <c r="O48" s="10" t="s">
        <v>149</v>
      </c>
      <c r="P48" s="10" t="s">
        <v>52</v>
      </c>
      <c r="Q48" s="10" t="s">
        <v>84</v>
      </c>
      <c r="R48" s="10" t="s">
        <v>281</v>
      </c>
    </row>
    <row r="49" customFormat="false" ht="57.75" hidden="false" customHeight="true" outlineLevel="0" collapsed="false">
      <c r="A49" s="10" t="n">
        <v>44</v>
      </c>
      <c r="B49" s="10" t="s">
        <v>282</v>
      </c>
      <c r="C49" s="10" t="s">
        <v>283</v>
      </c>
      <c r="D49" s="10" t="s">
        <v>45</v>
      </c>
      <c r="E49" s="11" t="n">
        <v>58</v>
      </c>
      <c r="F49" s="10" t="s">
        <v>284</v>
      </c>
      <c r="G49" s="12" t="n">
        <v>2.7</v>
      </c>
      <c r="H49" s="10" t="s">
        <v>285</v>
      </c>
      <c r="I49" s="12" t="n">
        <f aca="false">ROUND(E49-(G49*2.5),0)</f>
        <v>51</v>
      </c>
      <c r="J49" s="10" t="str">
        <f aca="false">IF(D49&lt;&gt;"Active","Not Tiered",IF(I49&gt;=80,"Full",IF(AND(E49&lt;60,G49&lt;2.5),"Mini","Standard")))</f>
        <v>Standard</v>
      </c>
      <c r="K49" s="10" t="str">
        <f aca="false">IF(D49&lt;&gt;"Active","Cancelled/inactive; excluded from active governance tier counts.",IF(J49="Full","Profiler band: VC "&amp;TEXT(I49,"0")&amp;" &gt;= 80, so Full governance plan is required.",IF(J49="Mini","Profiler band: Value "&amp;TEXT(E49,"0")&amp;" &lt; 60 and avg complexity "&amp;TEXT(G49,"0.0")&amp;" &lt; 2.5, so Mini is allowed.","Profiler band: VC "&amp;TEXT(I49,"0")&amp;" &lt; 80 and Mini gate not met ("&amp;IF(E49&gt;=60,"value &gt;= 60","avg complexity &gt;= 2.5")&amp;"), so Standard.")))</f>
        <v>Profiler band: VC 51 &lt; 80 and Mini gate not met (avg complexity &gt;= 2.5), so Standard.</v>
      </c>
      <c r="L49" s="10" t="s">
        <v>89</v>
      </c>
      <c r="M49" s="10" t="s">
        <v>49</v>
      </c>
      <c r="N49" s="10" t="s">
        <v>59</v>
      </c>
      <c r="O49" s="10" t="s">
        <v>149</v>
      </c>
      <c r="P49" s="10" t="s">
        <v>52</v>
      </c>
      <c r="Q49" s="10" t="s">
        <v>149</v>
      </c>
      <c r="R49" s="10" t="s">
        <v>286</v>
      </c>
    </row>
    <row r="50" customFormat="false" ht="57.75" hidden="false" customHeight="true" outlineLevel="0" collapsed="false">
      <c r="A50" s="10" t="s">
        <v>287</v>
      </c>
      <c r="B50" s="10" t="s">
        <v>288</v>
      </c>
      <c r="C50" s="10" t="s">
        <v>289</v>
      </c>
      <c r="D50" s="10" t="s">
        <v>45</v>
      </c>
      <c r="E50" s="11" t="n">
        <v>85</v>
      </c>
      <c r="F50" s="10" t="s">
        <v>290</v>
      </c>
      <c r="G50" s="12" t="n">
        <v>2.8</v>
      </c>
      <c r="H50" s="10" t="s">
        <v>291</v>
      </c>
      <c r="I50" s="12" t="n">
        <f aca="false">ROUND(E50-(G50*2.5),0)</f>
        <v>78</v>
      </c>
      <c r="J50" s="10" t="str">
        <f aca="false">IF(D50&lt;&gt;"Active","Not Tiered",IF(I50&gt;=80,"Full",IF(AND(E50&lt;60,G50&lt;2.5),"Mini","Standard")))</f>
        <v>Standard</v>
      </c>
      <c r="K50" s="10" t="str">
        <f aca="false">IF(D50&lt;&gt;"Active","Cancelled/inactive; excluded from active governance tier counts.",IF(J50="Full","Profiler band: VC "&amp;TEXT(I50,"0")&amp;" &gt;= 80, so Full governance plan is required.",IF(J50="Mini","Profiler band: Value "&amp;TEXT(E50,"0")&amp;" &lt; 60 and avg complexity "&amp;TEXT(G50,"0.0")&amp;" &lt; 2.5, so Mini is allowed.","Profiler band: VC "&amp;TEXT(I50,"0")&amp;" &lt; 80 and Mini gate not met ("&amp;IF(E50&gt;=60,"value &gt;= 60","avg complexity &gt;= 2.5")&amp;"), so Standard.")))</f>
        <v>Profiler band: VC 78 &lt; 80 and Mini gate not met (value &gt;= 60), so Standard.</v>
      </c>
      <c r="L50" s="10" t="s">
        <v>48</v>
      </c>
      <c r="M50" s="10" t="s">
        <v>49</v>
      </c>
      <c r="N50" s="10" t="s">
        <v>114</v>
      </c>
      <c r="O50" s="10" t="s">
        <v>51</v>
      </c>
      <c r="P50" s="10" t="s">
        <v>64</v>
      </c>
      <c r="Q50" s="10" t="s">
        <v>84</v>
      </c>
      <c r="R50" s="10" t="s">
        <v>292</v>
      </c>
    </row>
  </sheetData>
  <conditionalFormatting sqref="I2:I50">
    <cfRule type="expression" priority="2" aboveAverage="0" equalAverage="0" bottom="0" percent="0" rank="0" text="" dxfId="3">
      <formula>I2="Full"</formula>
    </cfRule>
    <cfRule type="expression" priority="3" aboveAverage="0" equalAverage="0" bottom="0" percent="0" rank="0" text="" dxfId="4">
      <formula>I2="Standard"</formula>
    </cfRule>
    <cfRule type="expression" priority="4" aboveAverage="0" equalAverage="0" bottom="0" percent="0" rank="0" text="" dxfId="5">
      <formula>I2="Mini"</formula>
    </cfRule>
    <cfRule type="expression" priority="5" aboveAverage="0" equalAverage="0" bottom="0" percent="0" rank="0" text="" dxfId="6">
      <formula>I2="Not Tiered"</formula>
    </cfRule>
  </conditionalFormatting>
  <conditionalFormatting sqref="D2:D50">
    <cfRule type="dataBar" priority="6">
      <dataBar showValue="1" minLength="10" maxLength="90">
        <cfvo type="min" val="0"/>
        <cfvo type="max" val="0"/>
        <color rgb="FF1F6F6A"/>
      </dataBar>
      <extLst>
        <ext xmlns:x14="http://schemas.microsoft.com/office/spreadsheetml/2009/9/main" uri="{B025F937-C7B1-47D3-B67F-A62EFF666E3E}">
          <x14:id>{B6702E82-A295-45BC-A66E-905C967760B8}</x14:id>
        </ext>
      </extLst>
    </cfRule>
  </conditionalFormatting>
  <conditionalFormatting sqref="H2:H50">
    <cfRule type="dataBar" priority="7">
      <dataBar showValue="1" minLength="10" maxLength="90">
        <cfvo type="min" val="0"/>
        <cfvo type="max" val="0"/>
        <color rgb="FFC99700"/>
      </dataBar>
      <extLst>
        <ext xmlns:x14="http://schemas.microsoft.com/office/spreadsheetml/2009/9/main" uri="{B025F937-C7B1-47D3-B67F-A62EFF666E3E}">
          <x14:id>{F4B2342D-7CB5-4D10-9627-904A6FAC505F}</x14:id>
        </ext>
      </extLst>
    </cfRule>
  </conditionalFormatting>
  <printOptions headings="false" gridLines="false" gridLinesSet="true" horizontalCentered="false" verticalCentered="false"/>
  <pageMargins left="0.25" right="0.25"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B6702E82-A295-45BC-A66E-905C967760B8}">
            <x14:dataBar minLength="10" maxLength="90" axisPosition="none" gradient="true">
              <x14:cfvo type="min"/>
              <x14:cfvo type="max"/>
              <x14:negativeFillColor rgb="FF1F6F6A"/>
              <x14:axisColor rgb="FF000000"/>
            </x14:dataBar>
          </x14:cfRule>
          <xm:sqref>D2:D50</xm:sqref>
        </x14:conditionalFormatting>
        <x14:conditionalFormatting xmlns:xm="http://schemas.microsoft.com/office/excel/2006/main">
          <x14:cfRule type="dataBar" id="{F4B2342D-7CB5-4D10-9627-904A6FAC505F}">
            <x14:dataBar minLength="10" maxLength="90" axisPosition="none" gradient="true">
              <x14:cfvo type="min"/>
              <x14:cfvo type="max"/>
              <x14:negativeFillColor rgb="FFC99700"/>
              <x14:axisColor rgb="FF000000"/>
            </x14:dataBar>
          </x14:cfRule>
          <xm:sqref>H2:H50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58"/>
  </cols>
  <sheetData>
    <row r="1" customFormat="false" ht="27.75" hidden="false" customHeight="true" outlineLevel="0" collapsed="false">
      <c r="A1" s="13" t="s">
        <v>293</v>
      </c>
      <c r="B1" s="13"/>
      <c r="C1" s="13"/>
      <c r="D1" s="13"/>
      <c r="E1" s="13"/>
      <c r="F1" s="13"/>
    </row>
    <row r="3" customFormat="false" ht="15" hidden="false" customHeight="true" outlineLevel="0" collapsed="false">
      <c r="A3" s="14" t="s">
        <v>294</v>
      </c>
      <c r="B3" s="14" t="s">
        <v>295</v>
      </c>
      <c r="C3" s="14" t="s">
        <v>296</v>
      </c>
    </row>
    <row r="4" customFormat="false" ht="48" hidden="false" customHeight="true" outlineLevel="0" collapsed="false">
      <c r="A4" s="4" t="s">
        <v>297</v>
      </c>
      <c r="B4" s="4" t="s">
        <v>298</v>
      </c>
      <c r="C4" s="4" t="s">
        <v>299</v>
      </c>
    </row>
    <row r="5" customFormat="false" ht="48" hidden="false" customHeight="true" outlineLevel="0" collapsed="false">
      <c r="A5" s="4" t="s">
        <v>10</v>
      </c>
      <c r="B5" s="4" t="s">
        <v>300</v>
      </c>
      <c r="C5" s="4" t="s">
        <v>301</v>
      </c>
    </row>
    <row r="6" customFormat="false" ht="48" hidden="false" customHeight="true" outlineLevel="0" collapsed="false">
      <c r="A6" s="4" t="s">
        <v>6</v>
      </c>
      <c r="B6" s="4" t="s">
        <v>302</v>
      </c>
      <c r="C6" s="4" t="s">
        <v>303</v>
      </c>
    </row>
    <row r="7" customFormat="false" ht="48" hidden="false" customHeight="true" outlineLevel="0" collapsed="false">
      <c r="A7" s="4" t="s">
        <v>8</v>
      </c>
      <c r="B7" s="4" t="s">
        <v>304</v>
      </c>
      <c r="C7" s="4" t="s">
        <v>305</v>
      </c>
    </row>
    <row r="8" customFormat="false" ht="48" hidden="false" customHeight="true" outlineLevel="0" collapsed="false">
      <c r="A8" s="4" t="s">
        <v>306</v>
      </c>
      <c r="B8" s="4" t="s">
        <v>307</v>
      </c>
      <c r="C8" s="4" t="s">
        <v>308</v>
      </c>
    </row>
    <row r="9" customFormat="false" ht="48" hidden="false" customHeight="true" outlineLevel="0" collapsed="false">
      <c r="A9" s="4" t="s">
        <v>309</v>
      </c>
      <c r="B9" s="4" t="s">
        <v>310</v>
      </c>
      <c r="C9" s="4" t="s">
        <v>311</v>
      </c>
    </row>
    <row r="10" customFormat="false" ht="48" hidden="false" customHeight="true" outlineLevel="0" collapsed="false">
      <c r="A10" s="4" t="s">
        <v>312</v>
      </c>
      <c r="B10" s="4" t="s">
        <v>313</v>
      </c>
      <c r="C10" s="4" t="s">
        <v>314</v>
      </c>
    </row>
    <row r="11" customFormat="false" ht="48" hidden="false" customHeight="true" outlineLevel="0" collapsed="false">
      <c r="A11" s="4" t="s">
        <v>36</v>
      </c>
      <c r="B11" s="4" t="s">
        <v>315</v>
      </c>
      <c r="C11" s="4" t="s">
        <v>316</v>
      </c>
    </row>
    <row r="13" customFormat="false" ht="24" hidden="false" customHeight="true" outlineLevel="0" collapsed="false">
      <c r="A13" s="15" t="s">
        <v>317</v>
      </c>
      <c r="B13" s="15"/>
      <c r="C13" s="15"/>
    </row>
    <row r="14" customFormat="false" ht="15" hidden="false" customHeight="true" outlineLevel="0" collapsed="false">
      <c r="A14" s="16" t="s">
        <v>318</v>
      </c>
      <c r="B14" s="16" t="s">
        <v>319</v>
      </c>
      <c r="C14" s="16" t="s">
        <v>320</v>
      </c>
    </row>
    <row r="15" customFormat="false" ht="95.25" hidden="false" customHeight="true" outlineLevel="0" collapsed="false">
      <c r="A15" s="17" t="s">
        <v>321</v>
      </c>
      <c r="B15" s="18" t="s">
        <v>322</v>
      </c>
      <c r="C15" s="18" t="s">
        <v>323</v>
      </c>
    </row>
    <row r="16" customFormat="false" ht="54.75" hidden="false" customHeight="true" outlineLevel="0" collapsed="false">
      <c r="A16" s="17" t="s">
        <v>324</v>
      </c>
      <c r="B16" s="18" t="s">
        <v>325</v>
      </c>
      <c r="C16" s="18" t="s">
        <v>326</v>
      </c>
    </row>
    <row r="17" customFormat="false" ht="68.25" hidden="false" customHeight="true" outlineLevel="0" collapsed="false">
      <c r="A17" s="17" t="s">
        <v>327</v>
      </c>
      <c r="B17" s="18" t="s">
        <v>328</v>
      </c>
      <c r="C17" s="18" t="s">
        <v>329</v>
      </c>
    </row>
    <row r="18" customFormat="false" ht="54.75" hidden="false" customHeight="true" outlineLevel="0" collapsed="false">
      <c r="A18" s="17" t="s">
        <v>330</v>
      </c>
      <c r="B18" s="18" t="s">
        <v>331</v>
      </c>
      <c r="C18" s="18" t="s">
        <v>332</v>
      </c>
    </row>
    <row r="19" customFormat="false" ht="68.25" hidden="false" customHeight="true" outlineLevel="0" collapsed="false">
      <c r="A19" s="17" t="s">
        <v>333</v>
      </c>
      <c r="B19" s="18" t="s">
        <v>334</v>
      </c>
      <c r="C19" s="18" t="s">
        <v>335</v>
      </c>
    </row>
    <row r="20" customFormat="false" ht="41.25" hidden="false" customHeight="true" outlineLevel="0" collapsed="false">
      <c r="A20" s="17" t="s">
        <v>336</v>
      </c>
      <c r="B20" s="18" t="s">
        <v>337</v>
      </c>
      <c r="C20" s="18" t="s">
        <v>338</v>
      </c>
    </row>
  </sheetData>
  <mergeCells count="2">
    <mergeCell ref="A1:F1"/>
    <mergeCell ref="A13:C13"/>
  </mergeCells>
  <printOptions headings="false" gridLines="false" gridLinesSet="true" horizontalCentered="false" verticalCentered="false"/>
  <pageMargins left="0.25" right="0.25"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2026-06-22T01:31:01Z</dcterms:created>
  <dc:creator>openpyxl</dc:creator>
  <dc:description/>
  <dc:language>en-US</dc:language>
  <cp:lastModifiedBy/>
  <dcterms:modified xsi:type="dcterms:W3CDTF">2026-06-22T01:40:04Z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